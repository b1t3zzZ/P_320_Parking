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_Module\P_320_Parking\"/>
    </mc:Choice>
  </mc:AlternateContent>
  <xr:revisionPtr revIDLastSave="0" documentId="13_ncr:1_{6144E4C7-CA35-4714-A659-9FE3B11EFC7B}" xr6:coauthVersionLast="47" xr6:coauthVersionMax="47" xr10:uidLastSave="{00000000-0000-0000-0000-000000000000}"/>
  <bookViews>
    <workbookView xWindow="28680" yWindow="-120" windowWidth="29040" windowHeight="1572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dT" sheetId="156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JdT!$A$1:$D$19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7" l="1"/>
  <c r="B13" i="157"/>
  <c r="B11" i="157"/>
  <c r="B9" i="157"/>
  <c r="B7" i="157"/>
  <c r="B5" i="157"/>
  <c r="C18" i="157"/>
  <c r="C17" i="157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<sst xmlns="http://schemas.openxmlformats.org/spreadsheetml/2006/main" count="220" uniqueCount="61">
  <si>
    <t>Module :</t>
  </si>
  <si>
    <t>P_POO</t>
  </si>
  <si>
    <t>Prénom - nom :</t>
  </si>
  <si>
    <t>Maksym Tsybulevskyi</t>
  </si>
  <si>
    <t>Classe :</t>
  </si>
  <si>
    <t>CID2A</t>
  </si>
  <si>
    <t>Lieu :</t>
  </si>
  <si>
    <t>Lausanne,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</si>
  <si>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</si>
  <si>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</si>
  <si>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</si>
  <si>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</si>
  <si>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</si>
  <si>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</si>
  <si>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</si>
  <si>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</si>
  <si>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</si>
  <si>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</si>
  <si>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</si>
  <si>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</si>
  <si>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</si>
  <si>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</si>
  <si>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</si>
  <si>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</si>
  <si>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</si>
  <si>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</si>
  <si>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</si>
  <si>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Docs</t>
  </si>
  <si>
    <t>Creation et remplissage de Planning et Rapport</t>
  </si>
  <si>
    <t>Codding</t>
  </si>
  <si>
    <t>Debut de codage (Faire l'affichage de debut et 7.3.1</t>
  </si>
  <si>
    <t>Max. 12</t>
  </si>
  <si>
    <t>Faire des fonctionnalités (7.3.2 - 7.3.3)</t>
  </si>
  <si>
    <t>Apprendre</t>
  </si>
  <si>
    <t>Se former de fonctionnalités que je ne connais pas</t>
  </si>
  <si>
    <t>Remplir le JdT et Le Rapport</t>
  </si>
  <si>
    <t>Test</t>
  </si>
  <si>
    <t>Faire de test du jeu</t>
  </si>
  <si>
    <t>Corriger les erreurs et faire (7.3.4)</t>
  </si>
  <si>
    <t>Faire le point 7.3.5 du cahier de charge</t>
  </si>
  <si>
    <t>Resumer le travail réalisé</t>
  </si>
  <si>
    <t>Faire le point 7.3.6 du cahier de charges</t>
  </si>
  <si>
    <t>Tester les dernieres points (qui n'ont pas été testé)</t>
  </si>
  <si>
    <t>Corriger des bugs</t>
  </si>
  <si>
    <t>Finir les points 7.3.7 et 7.4</t>
  </si>
  <si>
    <t xml:space="preserve">Faire le test global </t>
  </si>
  <si>
    <t>Corriger des erreurs possibles</t>
  </si>
  <si>
    <t>Verification des données dans le Rapport et JdT</t>
  </si>
  <si>
    <t>Verification de tout ensemble et rassurer que le projet est fini</t>
  </si>
  <si>
    <t>STOP</t>
  </si>
  <si>
    <t>Début:</t>
  </si>
  <si>
    <t>Fin de Projet</t>
  </si>
  <si>
    <t>S 1</t>
  </si>
  <si>
    <t>S 2</t>
  </si>
  <si>
    <t>S 3</t>
  </si>
  <si>
    <t>S 4</t>
  </si>
  <si>
    <t>S 5</t>
  </si>
  <si>
    <t>S 6</t>
  </si>
  <si>
    <t>S 7</t>
  </si>
  <si>
    <t>S 8</t>
  </si>
  <si>
    <t>J'ai créé et rempli le Rapport, Planning et Repo Git. Dans le Rapport j'ai fait les Spécifications, Planification initiale et 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</si>
</sst>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8" fillId="0" borderId="1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0" fillId="0" borderId="1" xfId="2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D26" sqref="D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3" t="s">
        <v>14</v>
      </c>
      <c r="C19" s="124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51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23DB-BB07-4993-BFFB-603B071B1BB2}">
  <sheetPr codeName="Feuil7"/>
  <dimension ref="A1:CU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17</v>
      </c>
      <c r="C2" s="15" t="s">
        <v>18</v>
      </c>
      <c r="D2" s="115" t="s">
        <v>52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7"/>
      <c r="P2" s="115" t="s">
        <v>53</v>
      </c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54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7"/>
      <c r="AN2" s="115" t="s">
        <v>55</v>
      </c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56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7"/>
      <c r="BL2" s="115" t="s">
        <v>57</v>
      </c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58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7"/>
      <c r="CJ2" s="115" t="s">
        <v>59</v>
      </c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</row>
    <row r="3" spans="1:99" ht="19.5" customHeight="1" x14ac:dyDescent="0.25">
      <c r="A3" s="19"/>
      <c r="B3" s="120" t="s">
        <v>16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</row>
    <row r="4" spans="1:99" ht="19.5" customHeight="1" thickBot="1" x14ac:dyDescent="0.3">
      <c r="A4" s="19"/>
      <c r="B4" s="121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</row>
    <row r="5" spans="1:99" ht="19.5" customHeight="1" x14ac:dyDescent="0.25">
      <c r="B5" s="122" t="str">
        <f>Donnees!$C$21</f>
        <v>Docs</v>
      </c>
      <c r="C5" s="102">
        <v>27</v>
      </c>
      <c r="D5" s="110"/>
      <c r="E5" s="111"/>
      <c r="F5" s="112"/>
      <c r="G5" s="113"/>
      <c r="H5" s="111"/>
      <c r="I5" s="112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113"/>
      <c r="W5" s="111"/>
      <c r="X5" s="112"/>
      <c r="Y5" s="95"/>
      <c r="Z5" s="93"/>
      <c r="AA5" s="96"/>
      <c r="AB5" s="92"/>
      <c r="AC5" s="93"/>
      <c r="AD5" s="94"/>
      <c r="AE5" s="95"/>
      <c r="AF5" s="93"/>
      <c r="AG5" s="94"/>
      <c r="AH5" s="113"/>
      <c r="AI5" s="111"/>
      <c r="AJ5" s="112"/>
      <c r="AK5" s="95"/>
      <c r="AL5" s="93"/>
      <c r="AM5" s="96"/>
      <c r="AN5" s="92"/>
      <c r="AO5" s="93"/>
      <c r="AP5" s="94"/>
      <c r="AQ5" s="95"/>
      <c r="AR5" s="93"/>
      <c r="AS5" s="94"/>
      <c r="AT5" s="113"/>
      <c r="AU5" s="111"/>
      <c r="AV5" s="112"/>
      <c r="AW5" s="95"/>
      <c r="AX5" s="93"/>
      <c r="AY5" s="96"/>
      <c r="AZ5" s="92"/>
      <c r="BA5" s="93"/>
      <c r="BB5" s="94"/>
      <c r="BC5" s="95"/>
      <c r="BD5" s="93"/>
      <c r="BE5" s="94"/>
      <c r="BF5" s="113"/>
      <c r="BG5" s="111"/>
      <c r="BH5" s="112"/>
      <c r="BI5" s="95"/>
      <c r="BJ5" s="93"/>
      <c r="BK5" s="96"/>
      <c r="BL5" s="92"/>
      <c r="BM5" s="93"/>
      <c r="BN5" s="94"/>
      <c r="BO5" s="95"/>
      <c r="BP5" s="93"/>
      <c r="BQ5" s="94"/>
      <c r="BR5" s="113"/>
      <c r="BS5" s="111"/>
      <c r="BT5" s="112"/>
      <c r="BU5" s="95"/>
      <c r="BV5" s="93"/>
      <c r="BW5" s="96"/>
      <c r="BX5" s="92"/>
      <c r="BY5" s="93"/>
      <c r="BZ5" s="94"/>
      <c r="CA5" s="95"/>
      <c r="CB5" s="93"/>
      <c r="CC5" s="94"/>
      <c r="CD5" s="113"/>
      <c r="CE5" s="111"/>
      <c r="CF5" s="112"/>
      <c r="CG5" s="95"/>
      <c r="CH5" s="93"/>
      <c r="CI5" s="96"/>
      <c r="CJ5" s="92"/>
      <c r="CK5" s="93"/>
      <c r="CL5" s="94"/>
      <c r="CM5" s="113"/>
      <c r="CN5" s="111"/>
      <c r="CO5" s="112"/>
      <c r="CP5" s="95"/>
      <c r="CQ5" s="93"/>
      <c r="CR5" s="94"/>
      <c r="CS5" s="95"/>
      <c r="CT5" s="93"/>
      <c r="CU5" s="96"/>
    </row>
    <row r="6" spans="1:99" ht="19.5" customHeight="1" thickBot="1" x14ac:dyDescent="0.3">
      <c r="B6" s="119"/>
      <c r="C6" s="103">
        <v>0</v>
      </c>
      <c r="D6" s="97"/>
      <c r="E6" s="98"/>
      <c r="F6" s="99"/>
      <c r="G6" s="100"/>
      <c r="H6" s="98"/>
      <c r="I6" s="99"/>
      <c r="J6" s="100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</row>
    <row r="7" spans="1:99" ht="19.5" customHeight="1" x14ac:dyDescent="0.25">
      <c r="B7" s="118" t="str">
        <f>Donnees!$C$22</f>
        <v>Codding</v>
      </c>
      <c r="C7" s="102">
        <v>51</v>
      </c>
      <c r="D7" s="92"/>
      <c r="E7" s="93"/>
      <c r="F7" s="94"/>
      <c r="G7" s="95"/>
      <c r="H7" s="93"/>
      <c r="I7" s="94"/>
      <c r="J7" s="113"/>
      <c r="K7" s="111"/>
      <c r="L7" s="112"/>
      <c r="M7" s="113"/>
      <c r="N7" s="111"/>
      <c r="O7" s="114"/>
      <c r="P7" s="110"/>
      <c r="Q7" s="111"/>
      <c r="R7" s="112"/>
      <c r="S7" s="95"/>
      <c r="T7" s="93"/>
      <c r="U7" s="94"/>
      <c r="V7" s="95"/>
      <c r="W7" s="93"/>
      <c r="X7" s="94"/>
      <c r="Y7" s="95"/>
      <c r="Z7" s="93"/>
      <c r="AA7" s="96"/>
      <c r="AB7" s="110"/>
      <c r="AC7" s="111"/>
      <c r="AD7" s="112"/>
      <c r="AE7" s="113"/>
      <c r="AF7" s="111"/>
      <c r="AG7" s="112"/>
      <c r="AH7" s="95"/>
      <c r="AI7" s="93"/>
      <c r="AJ7" s="94"/>
      <c r="AK7" s="113"/>
      <c r="AL7" s="111"/>
      <c r="AM7" s="114"/>
      <c r="AN7" s="110"/>
      <c r="AO7" s="111"/>
      <c r="AP7" s="112"/>
      <c r="AQ7" s="113"/>
      <c r="AR7" s="111"/>
      <c r="AS7" s="112"/>
      <c r="AT7" s="95"/>
      <c r="AU7" s="93"/>
      <c r="AV7" s="94"/>
      <c r="AW7" s="113"/>
      <c r="AX7" s="111"/>
      <c r="AY7" s="114"/>
      <c r="AZ7" s="110"/>
      <c r="BA7" s="111"/>
      <c r="BB7" s="112"/>
      <c r="BC7" s="113"/>
      <c r="BD7" s="111"/>
      <c r="BE7" s="112"/>
      <c r="BF7" s="95"/>
      <c r="BG7" s="93"/>
      <c r="BH7" s="94"/>
      <c r="BI7" s="95"/>
      <c r="BJ7" s="93"/>
      <c r="BK7" s="96"/>
      <c r="BL7" s="110"/>
      <c r="BM7" s="111"/>
      <c r="BN7" s="112"/>
      <c r="BO7" s="113"/>
      <c r="BP7" s="111"/>
      <c r="BQ7" s="112"/>
      <c r="BR7" s="95"/>
      <c r="BS7" s="93"/>
      <c r="BT7" s="94"/>
      <c r="BU7" s="113"/>
      <c r="BV7" s="111"/>
      <c r="BW7" s="114"/>
      <c r="BX7" s="110"/>
      <c r="BY7" s="111"/>
      <c r="BZ7" s="112"/>
      <c r="CA7" s="113"/>
      <c r="CB7" s="111"/>
      <c r="CC7" s="112"/>
      <c r="CD7" s="95"/>
      <c r="CE7" s="93"/>
      <c r="CF7" s="94"/>
      <c r="CG7" s="95"/>
      <c r="CH7" s="93"/>
      <c r="CI7" s="96"/>
      <c r="CJ7" s="110"/>
      <c r="CK7" s="111"/>
      <c r="CL7" s="112"/>
      <c r="CM7" s="95"/>
      <c r="CN7" s="93"/>
      <c r="CO7" s="94"/>
      <c r="CP7" s="95"/>
      <c r="CQ7" s="93"/>
      <c r="CR7" s="94"/>
      <c r="CS7" s="95"/>
      <c r="CT7" s="93"/>
      <c r="CU7" s="96"/>
    </row>
    <row r="8" spans="1:99" ht="19.5" customHeight="1" thickBot="1" x14ac:dyDescent="0.3">
      <c r="B8" s="119"/>
      <c r="C8" s="103">
        <v>0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</row>
    <row r="9" spans="1:99" ht="19.5" customHeight="1" x14ac:dyDescent="0.25">
      <c r="B9" s="118" t="str">
        <f>Donnees!$C$23</f>
        <v>Test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6"/>
      <c r="P9" s="92"/>
      <c r="Q9" s="93"/>
      <c r="R9" s="94"/>
      <c r="S9" s="95"/>
      <c r="T9" s="93"/>
      <c r="U9" s="94"/>
      <c r="V9" s="95"/>
      <c r="W9" s="93"/>
      <c r="X9" s="94"/>
      <c r="Y9" s="113"/>
      <c r="Z9" s="111"/>
      <c r="AA9" s="114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6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6"/>
      <c r="AZ9" s="92"/>
      <c r="BA9" s="93"/>
      <c r="BB9" s="94"/>
      <c r="BC9" s="95"/>
      <c r="BD9" s="93"/>
      <c r="BE9" s="94"/>
      <c r="BF9" s="95"/>
      <c r="BG9" s="93"/>
      <c r="BH9" s="94"/>
      <c r="BI9" s="113"/>
      <c r="BJ9" s="111"/>
      <c r="BK9" s="114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6"/>
      <c r="BX9" s="92"/>
      <c r="BY9" s="93"/>
      <c r="BZ9" s="94"/>
      <c r="CA9" s="95"/>
      <c r="CB9" s="93"/>
      <c r="CC9" s="94"/>
      <c r="CD9" s="95"/>
      <c r="CE9" s="93"/>
      <c r="CF9" s="94"/>
      <c r="CG9" s="113"/>
      <c r="CH9" s="111"/>
      <c r="CI9" s="114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96"/>
    </row>
    <row r="10" spans="1:99" ht="19.5" customHeight="1" thickBot="1" x14ac:dyDescent="0.3">
      <c r="B10" s="119"/>
      <c r="C10" s="103">
        <v>0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01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01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</row>
    <row r="11" spans="1:99" ht="19.5" customHeight="1" x14ac:dyDescent="0.25">
      <c r="B11" s="118" t="str">
        <f>Donnees!$C$24</f>
        <v>Apprendre</v>
      </c>
      <c r="C11" s="102">
        <v>3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6"/>
      <c r="P11" s="92"/>
      <c r="Q11" s="93"/>
      <c r="R11" s="94"/>
      <c r="S11" s="113"/>
      <c r="T11" s="111"/>
      <c r="U11" s="112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</row>
    <row r="12" spans="1:99" ht="19.5" customHeight="1" thickBot="1" x14ac:dyDescent="0.3">
      <c r="B12" s="119"/>
      <c r="C12" s="103">
        <v>0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</row>
    <row r="13" spans="1:99" ht="19.5" customHeight="1" x14ac:dyDescent="0.25">
      <c r="B13" s="118" t="str">
        <f>Donnees!$C$25</f>
        <v>Fin de Projet</v>
      </c>
      <c r="C13" s="102">
        <v>3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92"/>
      <c r="Q13" s="93"/>
      <c r="R13" s="94"/>
      <c r="S13" s="95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113"/>
      <c r="CQ13" s="111"/>
      <c r="CR13" s="112"/>
      <c r="CS13" s="95"/>
      <c r="CT13" s="93"/>
      <c r="CU13" s="96"/>
    </row>
    <row r="14" spans="1:99" ht="19.5" customHeight="1" thickBot="1" x14ac:dyDescent="0.3">
      <c r="B14" s="119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</row>
    <row r="15" spans="1:99" ht="19.5" customHeight="1" x14ac:dyDescent="0.25">
      <c r="B15" s="118" t="str">
        <f>Donnees!$C$26</f>
        <v>Absence - Imprévus</v>
      </c>
      <c r="C15" s="102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93"/>
      <c r="U15" s="94"/>
      <c r="V15" s="95"/>
      <c r="W15" s="93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</row>
    <row r="16" spans="1:99" ht="19.5" customHeight="1" x14ac:dyDescent="0.25">
      <c r="A16" s="41"/>
      <c r="B16" s="119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</row>
    <row r="17" spans="2:99" ht="19.5" customHeight="1" x14ac:dyDescent="0.25">
      <c r="B17" s="25" t="s">
        <v>19</v>
      </c>
      <c r="C17" s="27">
        <f>SUM($C$3,$C$5,$C$7,$C$9,$C$11,$C$13,$C$15)</f>
        <v>93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6"/>
      <c r="P17" s="104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6"/>
      <c r="AB17" s="104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6"/>
      <c r="AN17" s="104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6"/>
      <c r="AZ17" s="104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6"/>
      <c r="BL17" s="104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6"/>
      <c r="BX17" s="104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6"/>
      <c r="CJ17" s="104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6"/>
    </row>
    <row r="18" spans="2:99" ht="19.5" customHeight="1" thickBot="1" x14ac:dyDescent="0.3">
      <c r="B18" s="26" t="s">
        <v>20</v>
      </c>
      <c r="C18" s="28">
        <f>SUM($C$4,$C$6,$C$8,$C$10,$C$12,$C$14,$C$16)</f>
        <v>0</v>
      </c>
      <c r="D18" s="107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9"/>
      <c r="P18" s="107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9"/>
      <c r="AB18" s="107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9"/>
      <c r="AN18" s="107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9"/>
      <c r="AZ18" s="107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9"/>
      <c r="BL18" s="107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9"/>
      <c r="BX18" s="107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9"/>
      <c r="CJ18" s="107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9"/>
    </row>
  </sheetData>
  <sheetProtection insertRows="0" selectLockedCells="1"/>
  <mergeCells count="15">
    <mergeCell ref="BL2:BW2"/>
    <mergeCell ref="BX2:CI2"/>
    <mergeCell ref="CJ2:CU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27978349-94C9-443B-8B4D-0254AF24D5F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120" t="s">
        <v>16</v>
      </c>
      <c r="C3" s="16">
        <v>0</v>
      </c>
    </row>
    <row r="4" spans="1:4" ht="19.5" customHeight="1" x14ac:dyDescent="0.25">
      <c r="A4" s="19"/>
      <c r="B4" s="12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D53C-028A-470F-BEB6-6C040152DE42}">
  <sheetPr codeName="Feuil5"/>
  <dimension ref="A1:H113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 t="s">
        <v>27</v>
      </c>
      <c r="B3" s="4">
        <v>6</v>
      </c>
      <c r="C3" s="9" t="s">
        <v>28</v>
      </c>
      <c r="D3" s="9"/>
    </row>
    <row r="4" spans="1:4" s="52" customFormat="1" x14ac:dyDescent="0.25">
      <c r="A4" s="1" t="s">
        <v>29</v>
      </c>
      <c r="B4" s="2">
        <v>3</v>
      </c>
      <c r="C4" s="10" t="s">
        <v>30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9</v>
      </c>
      <c r="C13" s="86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21</v>
      </c>
      <c r="B15" s="7">
        <v>2</v>
      </c>
      <c r="C15" s="17"/>
      <c r="D15" s="85"/>
    </row>
    <row r="16" spans="1:4" ht="27.75" thickBot="1" x14ac:dyDescent="0.3">
      <c r="A16" s="8" t="s">
        <v>22</v>
      </c>
      <c r="B16" s="18" t="s">
        <v>23</v>
      </c>
      <c r="C16" s="8" t="s">
        <v>24</v>
      </c>
      <c r="D16" s="8" t="s">
        <v>25</v>
      </c>
    </row>
    <row r="17" spans="1:8" x14ac:dyDescent="0.25">
      <c r="A17" s="5" t="s">
        <v>29</v>
      </c>
      <c r="B17" s="4">
        <v>6</v>
      </c>
      <c r="C17" s="9" t="s">
        <v>32</v>
      </c>
      <c r="D17" s="9"/>
    </row>
    <row r="18" spans="1:8" x14ac:dyDescent="0.25">
      <c r="A18" s="1" t="s">
        <v>33</v>
      </c>
      <c r="B18" s="2">
        <v>3</v>
      </c>
      <c r="C18" s="10" t="s">
        <v>34</v>
      </c>
      <c r="D18" s="10"/>
    </row>
    <row r="19" spans="1:8" x14ac:dyDescent="0.25">
      <c r="A19" s="1" t="s">
        <v>27</v>
      </c>
      <c r="B19" s="2">
        <v>3</v>
      </c>
      <c r="C19" s="10" t="s">
        <v>35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26</v>
      </c>
      <c r="B27" s="12">
        <f>SUM(B17:B26)</f>
        <v>12</v>
      </c>
      <c r="C27" s="86" t="s">
        <v>31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22</v>
      </c>
      <c r="B30" s="18" t="s">
        <v>23</v>
      </c>
      <c r="C30" s="8" t="s">
        <v>24</v>
      </c>
      <c r="D30" s="8" t="s">
        <v>25</v>
      </c>
      <c r="F30" s="38"/>
      <c r="G30" s="39"/>
      <c r="H30" s="39"/>
    </row>
    <row r="31" spans="1:8" ht="14.25" x14ac:dyDescent="0.3">
      <c r="A31" s="5" t="s">
        <v>36</v>
      </c>
      <c r="B31" s="4">
        <v>3</v>
      </c>
      <c r="C31" s="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6</v>
      </c>
      <c r="C32" s="10" t="s">
        <v>38</v>
      </c>
      <c r="D32" s="10"/>
    </row>
    <row r="33" spans="1:4" x14ac:dyDescent="0.25">
      <c r="A33" s="1" t="s">
        <v>27</v>
      </c>
      <c r="B33" s="2">
        <v>3</v>
      </c>
      <c r="C33" s="10" t="s">
        <v>35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26</v>
      </c>
      <c r="B41" s="12">
        <f>SUM(B31:B40)</f>
        <v>12</v>
      </c>
      <c r="C41" s="86" t="s">
        <v>31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21</v>
      </c>
      <c r="B43" s="7">
        <v>4</v>
      </c>
      <c r="C43" s="17"/>
      <c r="D43" s="85"/>
    </row>
    <row r="44" spans="1:4" ht="27.75" thickBot="1" x14ac:dyDescent="0.3">
      <c r="A44" s="8" t="s">
        <v>22</v>
      </c>
      <c r="B44" s="18" t="s">
        <v>23</v>
      </c>
      <c r="C44" s="8" t="s">
        <v>24</v>
      </c>
      <c r="D44" s="8" t="s">
        <v>25</v>
      </c>
    </row>
    <row r="45" spans="1:4" x14ac:dyDescent="0.25">
      <c r="A45" s="5" t="s">
        <v>29</v>
      </c>
      <c r="B45" s="4">
        <v>9</v>
      </c>
      <c r="C45" s="9" t="s">
        <v>39</v>
      </c>
      <c r="D45" s="9"/>
    </row>
    <row r="46" spans="1:4" x14ac:dyDescent="0.25">
      <c r="A46" s="1" t="s">
        <v>27</v>
      </c>
      <c r="B46" s="2">
        <v>3</v>
      </c>
      <c r="C46" s="10" t="s">
        <v>40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26</v>
      </c>
      <c r="B55" s="12">
        <f>SUM(B45:B54)</f>
        <v>12</v>
      </c>
      <c r="C55" s="86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21</v>
      </c>
      <c r="B57" s="7">
        <v>5</v>
      </c>
      <c r="C57" s="17"/>
      <c r="D57" s="85"/>
    </row>
    <row r="58" spans="1:4" ht="27.75" thickBot="1" x14ac:dyDescent="0.3">
      <c r="A58" s="8" t="s">
        <v>22</v>
      </c>
      <c r="B58" s="18" t="s">
        <v>23</v>
      </c>
      <c r="C58" s="8" t="s">
        <v>24</v>
      </c>
      <c r="D58" s="8" t="s">
        <v>25</v>
      </c>
    </row>
    <row r="59" spans="1:4" x14ac:dyDescent="0.25">
      <c r="A59" s="5" t="s">
        <v>29</v>
      </c>
      <c r="B59" s="4">
        <v>9</v>
      </c>
      <c r="C59" s="9" t="s">
        <v>41</v>
      </c>
      <c r="D59" s="9"/>
    </row>
    <row r="60" spans="1:4" x14ac:dyDescent="0.25">
      <c r="A60" s="1" t="s">
        <v>27</v>
      </c>
      <c r="B60" s="2">
        <v>3</v>
      </c>
      <c r="C60" s="10" t="s">
        <v>40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26</v>
      </c>
      <c r="B69" s="12">
        <f>SUM(B59:B68)</f>
        <v>12</v>
      </c>
      <c r="C69" s="86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21</v>
      </c>
      <c r="B71" s="7">
        <v>6</v>
      </c>
      <c r="C71" s="17"/>
      <c r="D71" s="85"/>
    </row>
    <row r="72" spans="1:4" ht="27.75" thickBot="1" x14ac:dyDescent="0.3">
      <c r="A72" s="8" t="s">
        <v>22</v>
      </c>
      <c r="B72" s="18" t="s">
        <v>23</v>
      </c>
      <c r="C72" s="8" t="s">
        <v>24</v>
      </c>
      <c r="D72" s="8" t="s">
        <v>25</v>
      </c>
    </row>
    <row r="73" spans="1:4" x14ac:dyDescent="0.25">
      <c r="A73" s="5" t="s">
        <v>36</v>
      </c>
      <c r="B73" s="4">
        <v>3</v>
      </c>
      <c r="C73" s="9" t="s">
        <v>42</v>
      </c>
      <c r="D73" s="9"/>
    </row>
    <row r="74" spans="1:4" x14ac:dyDescent="0.25">
      <c r="A74" s="1" t="s">
        <v>29</v>
      </c>
      <c r="B74" s="2">
        <v>6</v>
      </c>
      <c r="C74" s="10" t="s">
        <v>43</v>
      </c>
      <c r="D74" s="10"/>
    </row>
    <row r="75" spans="1:4" x14ac:dyDescent="0.25">
      <c r="A75" s="1" t="s">
        <v>27</v>
      </c>
      <c r="B75" s="2">
        <v>3</v>
      </c>
      <c r="C75" s="10" t="s">
        <v>40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26</v>
      </c>
      <c r="B83" s="12">
        <f>SUM(B73:B82)</f>
        <v>12</v>
      </c>
      <c r="C83" s="86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21</v>
      </c>
      <c r="B85" s="7">
        <v>7</v>
      </c>
      <c r="C85" s="17"/>
      <c r="D85" s="85"/>
    </row>
    <row r="86" spans="1:4" ht="27.75" thickBot="1" x14ac:dyDescent="0.3">
      <c r="A86" s="8" t="s">
        <v>22</v>
      </c>
      <c r="B86" s="18" t="s">
        <v>23</v>
      </c>
      <c r="C86" s="8" t="s">
        <v>24</v>
      </c>
      <c r="D86" s="8" t="s">
        <v>25</v>
      </c>
    </row>
    <row r="87" spans="1:4" x14ac:dyDescent="0.25">
      <c r="A87" s="5" t="s">
        <v>29</v>
      </c>
      <c r="B87" s="4">
        <v>9</v>
      </c>
      <c r="C87" s="9" t="s">
        <v>44</v>
      </c>
      <c r="D87" s="9"/>
    </row>
    <row r="88" spans="1:4" x14ac:dyDescent="0.25">
      <c r="A88" s="1" t="s">
        <v>27</v>
      </c>
      <c r="B88" s="2">
        <v>3</v>
      </c>
      <c r="C88" s="10" t="s">
        <v>40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26</v>
      </c>
      <c r="B97" s="12">
        <f>SUM(B87:B96)</f>
        <v>12</v>
      </c>
      <c r="C97" s="86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21</v>
      </c>
      <c r="B99" s="7">
        <v>8</v>
      </c>
      <c r="C99" s="17"/>
      <c r="D99" s="85"/>
    </row>
    <row r="100" spans="1:4" ht="27.75" thickBot="1" x14ac:dyDescent="0.3">
      <c r="A100" s="8" t="s">
        <v>22</v>
      </c>
      <c r="B100" s="18" t="s">
        <v>23</v>
      </c>
      <c r="C100" s="8" t="s">
        <v>24</v>
      </c>
      <c r="D100" s="8" t="s">
        <v>25</v>
      </c>
    </row>
    <row r="101" spans="1:4" x14ac:dyDescent="0.25">
      <c r="A101" s="5" t="s">
        <v>36</v>
      </c>
      <c r="B101" s="4">
        <v>3</v>
      </c>
      <c r="C101" s="9" t="s">
        <v>45</v>
      </c>
      <c r="D101" s="9"/>
    </row>
    <row r="102" spans="1:4" x14ac:dyDescent="0.25">
      <c r="A102" s="1" t="s">
        <v>29</v>
      </c>
      <c r="B102" s="2">
        <v>3</v>
      </c>
      <c r="C102" s="10" t="s">
        <v>46</v>
      </c>
      <c r="D102" s="10"/>
    </row>
    <row r="103" spans="1:4" x14ac:dyDescent="0.25">
      <c r="A103" s="1" t="s">
        <v>27</v>
      </c>
      <c r="B103" s="2">
        <v>3</v>
      </c>
      <c r="C103" s="10" t="s">
        <v>47</v>
      </c>
      <c r="D103" s="10"/>
    </row>
    <row r="104" spans="1:4" x14ac:dyDescent="0.25">
      <c r="A104" s="1" t="s">
        <v>51</v>
      </c>
      <c r="B104" s="2">
        <v>3</v>
      </c>
      <c r="C104" s="10" t="s">
        <v>48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26</v>
      </c>
      <c r="B111" s="12">
        <f>SUM(B101:B110)</f>
        <v>12</v>
      </c>
      <c r="C111" s="86" t="s">
        <v>31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49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66703E-F835-4B67-8E64-FB5BFA79FDF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F08E8A8-439F-413A-9615-262726C2E90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329A862-5A94-4ACA-AABD-9282D4CCF8B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82C054-5097-45D1-8117-030CDC76604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50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7D1D-4376-4B33-B454-29F9ED4BB922}">
  <sheetPr codeName="Feuil9"/>
  <dimension ref="A1:H153"/>
  <sheetViews>
    <sheetView tabSelected="1" workbookViewId="0">
      <selection activeCell="C3" sqref="C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50</v>
      </c>
      <c r="D1" s="53">
        <f>Donnees!$C$9</f>
        <v>46262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ht="27" x14ac:dyDescent="0.25">
      <c r="A3" s="5" t="s">
        <v>27</v>
      </c>
      <c r="B3" s="89">
        <v>9</v>
      </c>
      <c r="C3" s="125" t="s">
        <v>60</v>
      </c>
      <c r="D3" s="9"/>
    </row>
    <row r="4" spans="1:4" s="52" customFormat="1" x14ac:dyDescent="0.25">
      <c r="A4" s="1"/>
      <c r="B4" s="90"/>
      <c r="C4" s="91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9</v>
      </c>
      <c r="C18" s="88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50</v>
      </c>
      <c r="D20" s="53">
        <f>$D$1+7</f>
        <v>46269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0</v>
      </c>
      <c r="C37" s="88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50</v>
      </c>
      <c r="D39" s="53">
        <f>$D$20+7</f>
        <v>46276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88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50</v>
      </c>
      <c r="D58" s="53">
        <f>$D$39+7</f>
        <v>46283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8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50</v>
      </c>
      <c r="D77" s="53">
        <f>$D$58+7</f>
        <v>46290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8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50</v>
      </c>
      <c r="D96" s="53">
        <f>$D$77+7</f>
        <v>46297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8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50</v>
      </c>
      <c r="D115" s="53">
        <f>$D$96+7</f>
        <v>46304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8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50</v>
      </c>
      <c r="D134" s="53">
        <f>$D$115+7</f>
        <v>46311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8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49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7161334-76A8-413A-B357-2D3799B066C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8ACBC33A-3A06-47CD-82C9-26E02758FBF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4CC7C23-3B4A-4CF3-A732-3DDFFDB4B03B}">
      <formula1>0</formula1>
      <formula2>NbPerWeek * NbQuartPer</formula2>
    </dataValidation>
    <dataValidation type="list" allowBlank="1" showInputMessage="1" showErrorMessage="1" sqref="A136:A150 A22:A36 A41:A55 A60:A74 A79:A93 A98:A112 A117:A131 A3:A17" xr:uid="{E2BCF87A-1074-4026-BD84-967D90C857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d2eb8-aa87-4c38-a373-01f97eab4f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39F18E15A6E246BE4A06A7671E3706" ma:contentTypeVersion="15" ma:contentTypeDescription="Crée un document." ma:contentTypeScope="" ma:versionID="7dc96c8416792914601b0f1d8b06e9eb">
  <xsd:schema xmlns:xsd="http://www.w3.org/2001/XMLSchema" xmlns:xs="http://www.w3.org/2001/XMLSchema" xmlns:p="http://schemas.microsoft.com/office/2006/metadata/properties" xmlns:ns3="d34d2eb8-aa87-4c38-a373-01f97eab4f12" xmlns:ns4="0728bee3-09a3-4a0b-bc06-9ca6df97b26c" targetNamespace="http://schemas.microsoft.com/office/2006/metadata/properties" ma:root="true" ma:fieldsID="8c875cbc56842590177adbc218ffe707" ns3:_="" ns4:_="">
    <xsd:import namespace="d34d2eb8-aa87-4c38-a373-01f97eab4f12"/>
    <xsd:import namespace="0728bee3-09a3-4a0b-bc06-9ca6df97b2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2eb8-aa87-4c38-a373-01f97eab4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28bee3-09a3-4a0b-bc06-9ca6df97b26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d34d2eb8-aa87-4c38-a373-01f97eab4f12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984067-85B0-4618-8C6F-BAD33CD1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2eb8-aa87-4c38-a373-01f97eab4f12"/>
    <ds:schemaRef ds:uri="0728bee3-09a3-4a0b-bc06-9ca6df97b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JdT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JdT!objRealizedWeek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Maksym Tsybulevskyi</dc:creator>
  <cp:keywords/>
  <dc:description/>
  <cp:lastModifiedBy>Maksym Tsybulevskyi</cp:lastModifiedBy>
  <cp:revision/>
  <dcterms:created xsi:type="dcterms:W3CDTF">1996-10-21T11:03:58Z</dcterms:created>
  <dcterms:modified xsi:type="dcterms:W3CDTF">2026-08-28T09:14:28Z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0x0101007139F18E15A6E246BE4A06A7671E3706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