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updateLinks="never" codeName="ThisWorkbook"/>
  <mc:AlternateContent xmlns:mc="http://schemas.openxmlformats.org/markup-compatibility/2006">
    <mc:Choice Requires="x15">
      <x15ac:absPath xmlns:x15ac="http://schemas.microsoft.com/office/spreadsheetml/2010/11/ac" url="D:\320_Module\P_320_Parking\"/>
    </mc:Choice>
  </mc:AlternateContent>
  <xr:revisionPtr revIDLastSave="0" documentId="13_ncr:1_{AF5C18C9-E780-4D20-B3DE-78B8F62DB38B}" xr6:coauthVersionLast="47" xr6:coauthVersionMax="47" xr10:uidLastSave="{00000000-0000-0000-0000-000000000000}"/>
  <bookViews>
    <workbookView xWindow="-120" yWindow="-120" windowWidth="29040" windowHeight="15720"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dT" sheetId="156" r:id="rId8"/>
  </sheets>
  <definedNames>
    <definedName name="datDateBegin">Donnees!$C$9</definedName>
    <definedName name="ListTasks">Diagramme!$B$3:$B$16</definedName>
    <definedName name="lstTasks">Donnees!$C$20:$C$45</definedName>
    <definedName name="NbLessons">Diagramme!$C$3:$C$16</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JdT!$A$1:$D$19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157" l="1"/>
  <c r="B13" i="157"/>
  <c r="B11" i="157"/>
  <c r="B9" i="157"/>
  <c r="B7" i="157"/>
  <c r="B5" i="157"/>
  <c r="C18" i="157"/>
  <c r="C17" i="157"/>
  <c r="D134"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<sst xmlns="http://schemas.openxmlformats.org/spreadsheetml/2006/main" count="251" uniqueCount="77">
  <si>
    <t>Module :</t>
  </si>
  <si>
    <t>P_POO</t>
  </si>
  <si>
    <t>Prénom - nom :</t>
  </si>
  <si>
    <t>Maksym Tsybulevskyi</t>
  </si>
  <si>
    <t>Classe :</t>
  </si>
  <si>
    <t>CID2A</t>
  </si>
  <si>
    <t>Lieu :</t>
  </si>
  <si>
    <t>Lausanne, Vennes</t>
  </si>
  <si>
    <t>Date Début :</t>
  </si>
  <si>
    <t>Date Fin:</t>
  </si>
  <si>
    <t>Nombre de semaines:</t>
  </si>
  <si>
    <t>Nombre de Périodes/Semaine :</t>
  </si>
  <si>
    <t>Nombre de 1/4 heure/Période:</t>
  </si>
  <si>
    <t xml:space="preserve"> </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</si>
  <si>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</si>
  <si>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</si>
  <si>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</si>
  <si>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</si>
  <si>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</si>
  <si>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</si>
  <si>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</si>
  <si>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</si>
  <si>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</si>
  <si>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</si>
  <si>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</si>
  <si>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</si>
  <si>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</si>
  <si>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Docs</t>
  </si>
  <si>
    <t>Creation et remplissage de Planning et Rapport</t>
  </si>
  <si>
    <t>Codding</t>
  </si>
  <si>
    <t>Max. 12</t>
  </si>
  <si>
    <t>Apprendre</t>
  </si>
  <si>
    <t>Se former de fonctionnalités que je ne connais pas</t>
  </si>
  <si>
    <t>Remplir le JdT et Le Rapport</t>
  </si>
  <si>
    <t>Test</t>
  </si>
  <si>
    <t>Faire de test du jeu</t>
  </si>
  <si>
    <t>Resumer le travail réalisé</t>
  </si>
  <si>
    <t>Corriger des bugs</t>
  </si>
  <si>
    <t xml:space="preserve">Faire le test global </t>
  </si>
  <si>
    <t>Corriger des erreurs possibles</t>
  </si>
  <si>
    <t>Verification des données dans le Rapport et JdT</t>
  </si>
  <si>
    <t>Verification de tout ensemble et rassurer que le projet est fini</t>
  </si>
  <si>
    <t>STOP</t>
  </si>
  <si>
    <t>Début:</t>
  </si>
  <si>
    <t>Fin de Projet</t>
  </si>
  <si>
    <t>S 1</t>
  </si>
  <si>
    <t>S 2</t>
  </si>
  <si>
    <t>S 3</t>
  </si>
  <si>
    <t>S 4</t>
  </si>
  <si>
    <t>S 5</t>
  </si>
  <si>
    <t>S 6</t>
  </si>
  <si>
    <t>S 7</t>
  </si>
  <si>
    <t>S 8</t>
  </si>
  <si>
    <t>J'ai créé et rempli le Rapport, Planning et Repo Git. Dans le Rapport j'ai fait les Spécifications, Planification initiale et Analyse</t>
  </si>
  <si>
    <t>R-POO-pr55xpt.docx</t>
  </si>
  <si>
    <t>Faire des fonctionnalités (entrée du vahicule - sortie d'un véhicule)</t>
  </si>
  <si>
    <t>Debut de codage (Faire l'affichage de debut)</t>
  </si>
  <si>
    <t>Corriger les erreurs et faire (Rechercher un véhicule)</t>
  </si>
  <si>
    <t>Faire le point "Statistique du jour" du cahier de charge</t>
  </si>
  <si>
    <t>Faire le point "Historique des transactions" du cahier de charges</t>
  </si>
  <si>
    <t>Finir les points "Pour aller au-delà du minimum"  et "Contraintes techniques"</t>
  </si>
  <si>
    <t>Tester les dernieres points (qui n'ont pas été testé), avec le code automatique</t>
  </si>
  <si>
    <t>J'ai fait le Rapport. J'ai refait le point 3.2, car il n'était pas fait correctement. J'ai corrigé les erreurs dans planning en changant les points (7.3.1) par le nom de tâche.</t>
  </si>
  <si>
    <t>J'ai utilisé de l'IA avec ce prompt "Où il vaut mieux garder l'historique"</t>
  </si>
  <si>
    <t>https://chatgpt.com/</t>
  </si>
  <si>
    <t>J'ai fait des tâches pour canban</t>
  </si>
  <si>
    <t>J'ai fait des different fonctionnalités. J'ai crée 3 class: Vehicule, ParkingSpot, Ticket. Recherche des nouvelles fonctions à l'aide de l'IA comme Regex.IsMatch()</t>
  </si>
  <si>
    <t>J'ai fait des testes de toutes les classes. Résultat: OK, mais il y a une erreur dans le logique( "Montant à payer : 6.250 CHF (attendu: ~6.25 CHF)" )</t>
  </si>
  <si>
    <t>J'ai crée le class Parking. J'ai crée la methode FindFirstFreeSpot(), la logique pour l'entré d'un Vehicule (7.3.1)</t>
  </si>
  <si>
    <t>Finition de mèthode EnterVehicule, Creation de mèthode SortVehicule pour sortir la voiutre. J'ai fait un boucle qui verifie que si les données entrées sont bons, alors on fait un Release() pour liberer la place</t>
  </si>
  <si>
    <t>Nous créons le code principal dans Program.cs afin de pouvoir interagir avec les méthodes que nous avons créées.</t>
  </si>
  <si>
    <t>Creation de testes unitaires sur les plaques</t>
  </si>
  <si>
    <t>https://github.com/b1t3zzZ/320-POO/blob/main/supports/Tests%20Unitaires.pdf</t>
  </si>
  <si>
    <t>J'ai écrit les commentaires</t>
  </si>
  <si>
    <t>Rajoute encore une test sur la liberation de places</t>
  </si>
  <si>
    <t>Affichage l'état du parking avec methode DisplayPark();</t>
  </si>
  <si>
    <t>Mis en place toute les espaces et creation de recherche selon la plaque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</si>
</sst>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8" fillId="0" borderId="1" xfId="2" applyBorder="1" applyAlignment="1" applyProtection="1">
      <alignment horizontal="center" vertical="center" wrapText="1"/>
      <protection locked="0"/>
    </xf>
    <xf numFmtId="0" fontId="8" fillId="0" borderId="2" xfId="2" applyBorder="1" applyAlignment="1" applyProtection="1">
      <alignment horizontal="center" vertical="center" wrapText="1"/>
      <protection locked="0"/>
    </xf>
    <xf numFmtId="0" fontId="8" fillId="0" borderId="2" xfId="2" applyBorder="1" applyAlignment="1" applyProtection="1">
      <alignment horizontal="left" vertical="top" wrapText="1"/>
      <protection locked="0"/>
    </xf>
    <xf numFmtId="0" fontId="0" fillId="9" borderId="36" xfId="0" applyFill="1" applyBorder="1"/>
    <xf numFmtId="0" fontId="0" fillId="9" borderId="37" xfId="0" applyFill="1" applyBorder="1"/>
    <xf numFmtId="0" fontId="0" fillId="9" borderId="38" xfId="0" applyFill="1" applyBorder="1"/>
    <xf numFmtId="0" fontId="0" fillId="9" borderId="39" xfId="0" applyFill="1" applyBorder="1"/>
    <xf numFmtId="0" fontId="0" fillId="9" borderId="40" xfId="0" applyFill="1" applyBorder="1"/>
    <xf numFmtId="0" fontId="0" fillId="9" borderId="41" xfId="0" applyFill="1" applyBorder="1"/>
    <xf numFmtId="0" fontId="0" fillId="9" borderId="42" xfId="0" applyFill="1" applyBorder="1"/>
    <xf numFmtId="0" fontId="0" fillId="9" borderId="43" xfId="0" applyFill="1" applyBorder="1"/>
    <xf numFmtId="0" fontId="0" fillId="9" borderId="44" xfId="0" applyFill="1" applyBorder="1"/>
    <xf numFmtId="0" fontId="0" fillId="9" borderId="45" xfId="0" applyFill="1" applyBorder="1"/>
    <xf numFmtId="0" fontId="18" fillId="14" borderId="29" xfId="0" applyFont="1" applyFill="1" applyBorder="1" applyAlignment="1">
      <alignment horizontal="center" vertical="center"/>
    </xf>
    <xf numFmtId="0" fontId="18" fillId="14" borderId="28" xfId="0" applyFont="1" applyFill="1" applyBorder="1" applyAlignment="1">
      <alignment horizontal="center" vertical="center"/>
    </xf>
    <xf numFmtId="0" fontId="0" fillId="10" borderId="30" xfId="0" applyFill="1" applyBorder="1"/>
    <xf numFmtId="0" fontId="0" fillId="10" borderId="34" xfId="0" applyFill="1" applyBorder="1"/>
    <xf numFmtId="0" fontId="0" fillId="10" borderId="46" xfId="0" applyFill="1" applyBorder="1"/>
    <xf numFmtId="0" fontId="0" fillId="10" borderId="10" xfId="0" applyFill="1" applyBorder="1"/>
    <xf numFmtId="0" fontId="0" fillId="10" borderId="5" xfId="0" applyFill="1" applyBorder="1"/>
    <xf numFmtId="0" fontId="0" fillId="10" borderId="11" xfId="0" applyFill="1" applyBorder="1"/>
    <xf numFmtId="0" fontId="0" fillId="15" borderId="36"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40" xfId="0" applyFill="1" applyBorder="1"/>
    <xf numFmtId="0" fontId="0" fillId="0" borderId="1" xfId="2" applyFont="1" applyBorder="1" applyAlignment="1" applyProtection="1">
      <alignment horizontal="left" vertical="top" wrapText="1"/>
      <protection locked="0"/>
    </xf>
    <xf numFmtId="0" fontId="1" fillId="0" borderId="0" xfId="1" applyAlignment="1" applyProtection="1">
      <alignment horizontal="center" vertical="center"/>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 fillId="0" borderId="2"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lignment horizontal="center" vertical="center"/>
    </xf>
    <xf numFmtId="0" fontId="19" fillId="9" borderId="12" xfId="0" applyFont="1" applyFill="1" applyBorder="1" applyAlignment="1">
      <alignment horizontal="center" vertical="center"/>
    </xf>
    <xf numFmtId="0" fontId="19" fillId="9" borderId="13" xfId="0" applyFont="1" applyFill="1" applyBorder="1" applyAlignment="1">
      <alignment horizontal="center" vertical="center"/>
    </xf>
    <xf numFmtId="1" fontId="17" fillId="6" borderId="35" xfId="0" applyNumberFormat="1" applyFont="1" applyFill="1" applyBorder="1" applyAlignment="1">
      <alignment vertical="center"/>
    </xf>
    <xf numFmtId="0" fontId="17" fillId="6" borderId="19" xfId="0" applyFont="1" applyFill="1" applyBorder="1" applyAlignment="1">
      <alignment vertical="center"/>
    </xf>
    <xf numFmtId="0" fontId="2" fillId="7" borderId="20" xfId="0" applyFont="1" applyFill="1" applyBorder="1" applyAlignment="1">
      <alignment horizontal="left" vertical="center" indent="1"/>
    </xf>
    <xf numFmtId="0" fontId="0" fillId="7" borderId="19" xfId="0" applyFill="1" applyBorder="1"/>
    <xf numFmtId="0" fontId="17" fillId="6" borderId="35" xfId="0" applyFont="1" applyFill="1" applyBorder="1" applyAlignment="1">
      <alignment vertical="center"/>
    </xf>
    <xf numFmtId="0" fontId="0" fillId="0" borderId="1" xfId="0" applyFont="1" applyBorder="1" applyAlignment="1" applyProtection="1">
      <alignment horizontal="left" vertical="top" wrapText="1"/>
      <protection locked="0"/>
    </xf>
    <xf numFmtId="0" fontId="0" fillId="9" borderId="0" xfId="0" applyFill="1" applyAlignment="1">
      <alignment horizontal="center" vertical="center"/>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ttps://chatgpt.com/" TargetMode="External"/><Relationship Id="rId7" Type="http://schemas.openxmlformats.org/officeDocument/2006/relationships/vmlDrawing" Target="../drawings/vmlDrawing6.vml"/><Relationship Id="rId2" Type="http://schemas.openxmlformats.org/officeDocument/2006/relationships/hyperlink" Target="https://chatgpt.com/" TargetMode="External"/><Relationship Id="rId1" Type="http://schemas.openxmlformats.org/officeDocument/2006/relationships/hyperlink" Target="https://eduvaud-my.sharepoint.com/:w:/r/personal/pr55xpt_eduvaud_ch/Documents/Informatique/320_Module/P_320_Parking/R-POO-pr55xpt.docx?d=w333f0c3d6582477ea35f6235b79d75df&amp;csf=1&amp;web=1&amp;e=dGXXwk"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s://chatgpt.com/" TargetMode="Externa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D26" sqref="D26"/>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46262</v>
      </c>
      <c r="D9" s="59"/>
      <c r="E9" s="59"/>
      <c r="F9" s="59"/>
      <c r="G9" s="60"/>
    </row>
    <row r="10" spans="1:7" ht="20.25" x14ac:dyDescent="0.25">
      <c r="A10" s="58"/>
      <c r="B10" s="68" t="s">
        <v>9</v>
      </c>
      <c r="C10" s="69">
        <v>46325</v>
      </c>
      <c r="D10" s="59"/>
      <c r="E10" s="59"/>
      <c r="F10" s="59"/>
      <c r="G10" s="60"/>
    </row>
    <row r="11" spans="1:7" ht="20.25" x14ac:dyDescent="0.25">
      <c r="A11" s="58"/>
      <c r="B11" s="68" t="s">
        <v>10</v>
      </c>
      <c r="C11" s="70">
        <v>8</v>
      </c>
      <c r="D11" s="59"/>
      <c r="E11" s="59"/>
      <c r="F11" s="59"/>
      <c r="G11" s="60"/>
    </row>
    <row r="12" spans="1:7" ht="20.25" x14ac:dyDescent="0.25">
      <c r="A12" s="58"/>
      <c r="B12" s="63" t="s">
        <v>11</v>
      </c>
      <c r="C12" s="71">
        <v>4</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21" t="s">
        <v>14</v>
      </c>
      <c r="C19" s="122"/>
      <c r="D19" s="59"/>
      <c r="E19" s="59"/>
      <c r="F19" s="59"/>
      <c r="G19" s="60"/>
    </row>
    <row r="20" spans="1:7" ht="20.25" x14ac:dyDescent="0.25">
      <c r="A20" s="78"/>
      <c r="B20" s="79" t="s">
        <v>15</v>
      </c>
      <c r="C20" s="80" t="s">
        <v>16</v>
      </c>
      <c r="D20" s="59"/>
      <c r="E20" s="59"/>
      <c r="F20" s="59"/>
      <c r="G20" s="60"/>
    </row>
    <row r="21" spans="1:7" ht="20.25" x14ac:dyDescent="0.25">
      <c r="A21" s="78"/>
      <c r="B21" s="79">
        <v>1</v>
      </c>
      <c r="C21" s="69" t="s">
        <v>27</v>
      </c>
      <c r="D21" s="59"/>
      <c r="E21" s="59"/>
      <c r="F21" s="59"/>
      <c r="G21" s="60"/>
    </row>
    <row r="22" spans="1:7" ht="20.25" x14ac:dyDescent="0.25">
      <c r="A22" s="78"/>
      <c r="B22" s="79">
        <v>2</v>
      </c>
      <c r="C22" s="70" t="s">
        <v>29</v>
      </c>
      <c r="D22" s="59"/>
      <c r="E22" s="59"/>
      <c r="F22" s="59"/>
      <c r="G22" s="60"/>
    </row>
    <row r="23" spans="1:7" ht="20.25" x14ac:dyDescent="0.25">
      <c r="A23" s="78"/>
      <c r="B23" s="81">
        <v>3</v>
      </c>
      <c r="C23" s="70" t="s">
        <v>34</v>
      </c>
      <c r="D23" s="59"/>
      <c r="E23" s="59"/>
      <c r="F23" s="59"/>
      <c r="G23" s="60"/>
    </row>
    <row r="24" spans="1:7" ht="20.25" x14ac:dyDescent="0.25">
      <c r="A24" s="78"/>
      <c r="B24" s="79">
        <v>4</v>
      </c>
      <c r="C24" s="70" t="s">
        <v>31</v>
      </c>
      <c r="D24" s="59"/>
      <c r="E24" s="59"/>
      <c r="F24" s="59"/>
      <c r="G24" s="60"/>
    </row>
    <row r="25" spans="1:7" ht="20.25" x14ac:dyDescent="0.25">
      <c r="A25" s="78"/>
      <c r="B25" s="79">
        <v>5</v>
      </c>
      <c r="C25" s="70" t="s">
        <v>44</v>
      </c>
      <c r="D25" s="59"/>
      <c r="E25" s="59"/>
      <c r="F25" s="59"/>
      <c r="G25" s="60"/>
    </row>
    <row r="26" spans="1:7" ht="20.25" x14ac:dyDescent="0.25">
      <c r="A26" s="78"/>
      <c r="B26" s="81">
        <v>6</v>
      </c>
      <c r="C26" s="70" t="s">
        <v>16</v>
      </c>
      <c r="D26" s="59"/>
      <c r="E26" s="59"/>
      <c r="F26" s="59"/>
      <c r="G26" s="60"/>
    </row>
    <row r="27" spans="1:7" ht="20.25" x14ac:dyDescent="0.25">
      <c r="A27" s="78"/>
      <c r="B27" s="79">
        <v>7</v>
      </c>
      <c r="C27" s="70"/>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423DB-BB07-4993-BFFB-603B071B1BB2}">
  <sheetPr codeName="Feuil7"/>
  <dimension ref="A1:CU18"/>
  <sheetViews>
    <sheetView workbookViewId="0">
      <selection activeCell="B1" sqref="B1"/>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99" ht="14.25" thickBot="1" x14ac:dyDescent="0.3">
      <c r="B1" s="21"/>
      <c r="C1" s="21"/>
    </row>
    <row r="2" spans="1:99" ht="42.75" customHeight="1" thickBot="1" x14ac:dyDescent="0.3">
      <c r="A2" s="19"/>
      <c r="B2" s="23" t="s">
        <v>17</v>
      </c>
      <c r="C2" s="15" t="s">
        <v>18</v>
      </c>
      <c r="D2" s="123" t="s">
        <v>45</v>
      </c>
      <c r="E2" s="124"/>
      <c r="F2" s="124"/>
      <c r="G2" s="124"/>
      <c r="H2" s="124"/>
      <c r="I2" s="124"/>
      <c r="J2" s="124"/>
      <c r="K2" s="124"/>
      <c r="L2" s="124"/>
      <c r="M2" s="124"/>
      <c r="N2" s="124"/>
      <c r="O2" s="125"/>
      <c r="P2" s="123" t="s">
        <v>46</v>
      </c>
      <c r="Q2" s="124"/>
      <c r="R2" s="124"/>
      <c r="S2" s="124"/>
      <c r="T2" s="124"/>
      <c r="U2" s="124"/>
      <c r="V2" s="124"/>
      <c r="W2" s="124"/>
      <c r="X2" s="124"/>
      <c r="Y2" s="124"/>
      <c r="Z2" s="124"/>
      <c r="AA2" s="125"/>
      <c r="AB2" s="123" t="s">
        <v>47</v>
      </c>
      <c r="AC2" s="124"/>
      <c r="AD2" s="124"/>
      <c r="AE2" s="124"/>
      <c r="AF2" s="124"/>
      <c r="AG2" s="124"/>
      <c r="AH2" s="124"/>
      <c r="AI2" s="124"/>
      <c r="AJ2" s="124"/>
      <c r="AK2" s="124"/>
      <c r="AL2" s="124"/>
      <c r="AM2" s="125"/>
      <c r="AN2" s="123" t="s">
        <v>48</v>
      </c>
      <c r="AO2" s="124"/>
      <c r="AP2" s="124"/>
      <c r="AQ2" s="124"/>
      <c r="AR2" s="124"/>
      <c r="AS2" s="124"/>
      <c r="AT2" s="124"/>
      <c r="AU2" s="124"/>
      <c r="AV2" s="124"/>
      <c r="AW2" s="124"/>
      <c r="AX2" s="124"/>
      <c r="AY2" s="125"/>
      <c r="AZ2" s="123" t="s">
        <v>49</v>
      </c>
      <c r="BA2" s="124"/>
      <c r="BB2" s="124"/>
      <c r="BC2" s="124"/>
      <c r="BD2" s="124"/>
      <c r="BE2" s="124"/>
      <c r="BF2" s="124"/>
      <c r="BG2" s="124"/>
      <c r="BH2" s="124"/>
      <c r="BI2" s="124"/>
      <c r="BJ2" s="124"/>
      <c r="BK2" s="125"/>
      <c r="BL2" s="123" t="s">
        <v>50</v>
      </c>
      <c r="BM2" s="124"/>
      <c r="BN2" s="124"/>
      <c r="BO2" s="124"/>
      <c r="BP2" s="124"/>
      <c r="BQ2" s="124"/>
      <c r="BR2" s="124"/>
      <c r="BS2" s="124"/>
      <c r="BT2" s="124"/>
      <c r="BU2" s="124"/>
      <c r="BV2" s="124"/>
      <c r="BW2" s="125"/>
      <c r="BX2" s="123" t="s">
        <v>51</v>
      </c>
      <c r="BY2" s="124"/>
      <c r="BZ2" s="124"/>
      <c r="CA2" s="124"/>
      <c r="CB2" s="124"/>
      <c r="CC2" s="124"/>
      <c r="CD2" s="124"/>
      <c r="CE2" s="124"/>
      <c r="CF2" s="124"/>
      <c r="CG2" s="124"/>
      <c r="CH2" s="124"/>
      <c r="CI2" s="125"/>
      <c r="CJ2" s="123" t="s">
        <v>52</v>
      </c>
      <c r="CK2" s="124"/>
      <c r="CL2" s="124"/>
      <c r="CM2" s="124"/>
      <c r="CN2" s="124"/>
      <c r="CO2" s="124"/>
      <c r="CP2" s="124"/>
      <c r="CQ2" s="124"/>
      <c r="CR2" s="124"/>
      <c r="CS2" s="124"/>
      <c r="CT2" s="124"/>
      <c r="CU2" s="125"/>
    </row>
    <row r="3" spans="1:99" ht="19.5" customHeight="1" x14ac:dyDescent="0.25">
      <c r="A3" s="19"/>
      <c r="B3" s="128" t="s">
        <v>16</v>
      </c>
      <c r="C3" s="16">
        <v>0</v>
      </c>
      <c r="D3" s="92"/>
      <c r="E3" s="93"/>
      <c r="F3" s="94"/>
      <c r="G3" s="95"/>
      <c r="H3" s="93"/>
      <c r="I3" s="94"/>
      <c r="J3" s="95"/>
      <c r="K3" s="93"/>
      <c r="L3" s="94"/>
      <c r="M3" s="95"/>
      <c r="N3" s="93"/>
      <c r="O3" s="96"/>
      <c r="P3" s="92"/>
      <c r="Q3" s="93"/>
      <c r="R3" s="94"/>
      <c r="S3" s="95"/>
      <c r="T3" s="93"/>
      <c r="U3" s="94"/>
      <c r="V3" s="95"/>
      <c r="W3" s="93"/>
      <c r="X3" s="94"/>
      <c r="Y3" s="95"/>
      <c r="Z3" s="93"/>
      <c r="AA3" s="96"/>
      <c r="AB3" s="92"/>
      <c r="AC3" s="93"/>
      <c r="AD3" s="94"/>
      <c r="AE3" s="95"/>
      <c r="AF3" s="93"/>
      <c r="AG3" s="94"/>
      <c r="AH3" s="95"/>
      <c r="AI3" s="93"/>
      <c r="AJ3" s="94"/>
      <c r="AK3" s="95"/>
      <c r="AL3" s="93"/>
      <c r="AM3" s="96"/>
      <c r="AN3" s="92"/>
      <c r="AO3" s="93"/>
      <c r="AP3" s="94"/>
      <c r="AQ3" s="95"/>
      <c r="AR3" s="93"/>
      <c r="AS3" s="94"/>
      <c r="AT3" s="95"/>
      <c r="AU3" s="93"/>
      <c r="AV3" s="94"/>
      <c r="AW3" s="95"/>
      <c r="AX3" s="93"/>
      <c r="AY3" s="96"/>
      <c r="AZ3" s="92"/>
      <c r="BA3" s="93"/>
      <c r="BB3" s="94"/>
      <c r="BC3" s="95"/>
      <c r="BD3" s="93"/>
      <c r="BE3" s="94"/>
      <c r="BF3" s="95"/>
      <c r="BG3" s="93"/>
      <c r="BH3" s="94"/>
      <c r="BI3" s="95"/>
      <c r="BJ3" s="93"/>
      <c r="BK3" s="96"/>
      <c r="BL3" s="92"/>
      <c r="BM3" s="93"/>
      <c r="BN3" s="94"/>
      <c r="BO3" s="95"/>
      <c r="BP3" s="93"/>
      <c r="BQ3" s="94"/>
      <c r="BR3" s="95"/>
      <c r="BS3" s="93"/>
      <c r="BT3" s="94"/>
      <c r="BU3" s="95"/>
      <c r="BV3" s="93"/>
      <c r="BW3" s="96"/>
      <c r="BX3" s="92"/>
      <c r="BY3" s="93"/>
      <c r="BZ3" s="94"/>
      <c r="CA3" s="95"/>
      <c r="CB3" s="93"/>
      <c r="CC3" s="94"/>
      <c r="CD3" s="95"/>
      <c r="CE3" s="93"/>
      <c r="CF3" s="94"/>
      <c r="CG3" s="95"/>
      <c r="CH3" s="93"/>
      <c r="CI3" s="96"/>
      <c r="CJ3" s="92"/>
      <c r="CK3" s="93"/>
      <c r="CL3" s="94"/>
      <c r="CM3" s="95"/>
      <c r="CN3" s="93"/>
      <c r="CO3" s="94"/>
      <c r="CP3" s="95"/>
      <c r="CQ3" s="93"/>
      <c r="CR3" s="94"/>
      <c r="CS3" s="95"/>
      <c r="CT3" s="93"/>
      <c r="CU3" s="96"/>
    </row>
    <row r="4" spans="1:99" ht="19.5" customHeight="1" thickBot="1" x14ac:dyDescent="0.3">
      <c r="A4" s="19"/>
      <c r="B4" s="129"/>
      <c r="C4" s="22">
        <v>0</v>
      </c>
      <c r="D4" s="97"/>
      <c r="E4" s="98"/>
      <c r="F4" s="99"/>
      <c r="G4" s="100"/>
      <c r="H4" s="98"/>
      <c r="I4" s="99"/>
      <c r="J4" s="100"/>
      <c r="K4" s="98"/>
      <c r="L4" s="99"/>
      <c r="M4" s="100"/>
      <c r="N4" s="98"/>
      <c r="O4" s="101"/>
      <c r="P4" s="97"/>
      <c r="Q4" s="98"/>
      <c r="R4" s="99"/>
      <c r="S4" s="100"/>
      <c r="T4" s="98"/>
      <c r="U4" s="99"/>
      <c r="V4" s="100"/>
      <c r="W4" s="98"/>
      <c r="X4" s="99"/>
      <c r="Y4" s="100"/>
      <c r="Z4" s="98"/>
      <c r="AA4" s="101"/>
      <c r="AB4" s="97"/>
      <c r="AC4" s="98"/>
      <c r="AD4" s="99"/>
      <c r="AE4" s="100"/>
      <c r="AF4" s="98"/>
      <c r="AG4" s="99"/>
      <c r="AH4" s="100"/>
      <c r="AI4" s="98"/>
      <c r="AJ4" s="99"/>
      <c r="AK4" s="100"/>
      <c r="AL4" s="98"/>
      <c r="AM4" s="101"/>
      <c r="AN4" s="97"/>
      <c r="AO4" s="98"/>
      <c r="AP4" s="99"/>
      <c r="AQ4" s="100"/>
      <c r="AR4" s="98"/>
      <c r="AS4" s="99"/>
      <c r="AT4" s="100"/>
      <c r="AU4" s="98"/>
      <c r="AV4" s="99"/>
      <c r="AW4" s="100"/>
      <c r="AX4" s="98"/>
      <c r="AY4" s="101"/>
      <c r="AZ4" s="97"/>
      <c r="BA4" s="98"/>
      <c r="BB4" s="99"/>
      <c r="BC4" s="100"/>
      <c r="BD4" s="98"/>
      <c r="BE4" s="99"/>
      <c r="BF4" s="100"/>
      <c r="BG4" s="98"/>
      <c r="BH4" s="99"/>
      <c r="BI4" s="100"/>
      <c r="BJ4" s="98"/>
      <c r="BK4" s="101"/>
      <c r="BL4" s="97"/>
      <c r="BM4" s="98"/>
      <c r="BN4" s="99"/>
      <c r="BO4" s="100"/>
      <c r="BP4" s="98"/>
      <c r="BQ4" s="99"/>
      <c r="BR4" s="100"/>
      <c r="BS4" s="98"/>
      <c r="BT4" s="99"/>
      <c r="BU4" s="100"/>
      <c r="BV4" s="98"/>
      <c r="BW4" s="101"/>
      <c r="BX4" s="97"/>
      <c r="BY4" s="98"/>
      <c r="BZ4" s="99"/>
      <c r="CA4" s="100"/>
      <c r="CB4" s="98"/>
      <c r="CC4" s="99"/>
      <c r="CD4" s="100"/>
      <c r="CE4" s="98"/>
      <c r="CF4" s="99"/>
      <c r="CG4" s="100"/>
      <c r="CH4" s="98"/>
      <c r="CI4" s="101"/>
      <c r="CJ4" s="97"/>
      <c r="CK4" s="98"/>
      <c r="CL4" s="99"/>
      <c r="CM4" s="100"/>
      <c r="CN4" s="98"/>
      <c r="CO4" s="99"/>
      <c r="CP4" s="100"/>
      <c r="CQ4" s="98"/>
      <c r="CR4" s="99"/>
      <c r="CS4" s="100"/>
      <c r="CT4" s="98"/>
      <c r="CU4" s="101"/>
    </row>
    <row r="5" spans="1:99" ht="19.5" customHeight="1" x14ac:dyDescent="0.25">
      <c r="B5" s="130" t="str">
        <f>Donnees!$C$21</f>
        <v>Docs</v>
      </c>
      <c r="C5" s="102">
        <v>27</v>
      </c>
      <c r="D5" s="110"/>
      <c r="E5" s="111"/>
      <c r="F5" s="112"/>
      <c r="G5" s="113"/>
      <c r="H5" s="111"/>
      <c r="I5" s="112"/>
      <c r="J5" s="95"/>
      <c r="K5" s="93"/>
      <c r="L5" s="94"/>
      <c r="M5" s="95"/>
      <c r="N5" s="93"/>
      <c r="O5" s="96"/>
      <c r="P5" s="92"/>
      <c r="Q5" s="93"/>
      <c r="R5" s="94"/>
      <c r="S5" s="95"/>
      <c r="T5" s="93"/>
      <c r="U5" s="94"/>
      <c r="V5" s="113"/>
      <c r="W5" s="111"/>
      <c r="X5" s="112"/>
      <c r="Y5" s="95"/>
      <c r="Z5" s="93"/>
      <c r="AA5" s="96"/>
      <c r="AB5" s="92"/>
      <c r="AC5" s="93"/>
      <c r="AD5" s="94"/>
      <c r="AE5" s="95"/>
      <c r="AF5" s="93"/>
      <c r="AG5" s="94"/>
      <c r="AH5" s="113"/>
      <c r="AI5" s="111"/>
      <c r="AJ5" s="112"/>
      <c r="AK5" s="95"/>
      <c r="AL5" s="93"/>
      <c r="AM5" s="96"/>
      <c r="AN5" s="92"/>
      <c r="AO5" s="93"/>
      <c r="AP5" s="94"/>
      <c r="AQ5" s="95"/>
      <c r="AR5" s="93"/>
      <c r="AS5" s="94"/>
      <c r="AT5" s="113"/>
      <c r="AU5" s="111"/>
      <c r="AV5" s="112"/>
      <c r="AW5" s="95"/>
      <c r="AX5" s="93"/>
      <c r="AY5" s="96"/>
      <c r="AZ5" s="92"/>
      <c r="BA5" s="93"/>
      <c r="BB5" s="94"/>
      <c r="BC5" s="95"/>
      <c r="BD5" s="93"/>
      <c r="BE5" s="94"/>
      <c r="BF5" s="113"/>
      <c r="BG5" s="111"/>
      <c r="BH5" s="112"/>
      <c r="BI5" s="95"/>
      <c r="BJ5" s="93"/>
      <c r="BK5" s="96"/>
      <c r="BL5" s="92"/>
      <c r="BM5" s="93"/>
      <c r="BN5" s="94"/>
      <c r="BO5" s="95"/>
      <c r="BP5" s="93"/>
      <c r="BQ5" s="94"/>
      <c r="BR5" s="113"/>
      <c r="BS5" s="111"/>
      <c r="BT5" s="112"/>
      <c r="BU5" s="95"/>
      <c r="BV5" s="93"/>
      <c r="BW5" s="96"/>
      <c r="BX5" s="92"/>
      <c r="BY5" s="93"/>
      <c r="BZ5" s="94"/>
      <c r="CA5" s="95"/>
      <c r="CB5" s="93"/>
      <c r="CC5" s="94"/>
      <c r="CD5" s="113"/>
      <c r="CE5" s="111"/>
      <c r="CF5" s="112"/>
      <c r="CG5" s="95"/>
      <c r="CH5" s="93"/>
      <c r="CI5" s="96"/>
      <c r="CJ5" s="92"/>
      <c r="CK5" s="93"/>
      <c r="CL5" s="94"/>
      <c r="CM5" s="113"/>
      <c r="CN5" s="111"/>
      <c r="CO5" s="112"/>
      <c r="CP5" s="95"/>
      <c r="CQ5" s="93"/>
      <c r="CR5" s="94"/>
      <c r="CS5" s="95"/>
      <c r="CT5" s="93"/>
      <c r="CU5" s="96"/>
    </row>
    <row r="6" spans="1:99" ht="19.5" customHeight="1" thickBot="1" x14ac:dyDescent="0.3">
      <c r="B6" s="127"/>
      <c r="C6" s="103">
        <v>0</v>
      </c>
      <c r="D6" s="97"/>
      <c r="E6" s="98"/>
      <c r="F6" s="99"/>
      <c r="G6" s="100"/>
      <c r="H6" s="98"/>
      <c r="I6" s="99"/>
      <c r="J6" s="100"/>
      <c r="K6" s="98"/>
      <c r="L6" s="99"/>
      <c r="M6" s="100"/>
      <c r="N6" s="98"/>
      <c r="O6" s="101"/>
      <c r="P6" s="97"/>
      <c r="Q6" s="98"/>
      <c r="R6" s="99"/>
      <c r="S6" s="100"/>
      <c r="T6" s="98"/>
      <c r="U6" s="99"/>
      <c r="V6" s="100"/>
      <c r="W6" s="98"/>
      <c r="X6" s="99"/>
      <c r="Y6" s="100"/>
      <c r="Z6" s="98"/>
      <c r="AA6" s="101"/>
      <c r="AB6" s="97"/>
      <c r="AC6" s="98"/>
      <c r="AD6" s="99"/>
      <c r="AE6" s="100"/>
      <c r="AF6" s="98"/>
      <c r="AG6" s="99"/>
      <c r="AH6" s="100"/>
      <c r="AI6" s="98"/>
      <c r="AJ6" s="99"/>
      <c r="AK6" s="100"/>
      <c r="AL6" s="98"/>
      <c r="AM6" s="101"/>
      <c r="AN6" s="97"/>
      <c r="AO6" s="98"/>
      <c r="AP6" s="99"/>
      <c r="AQ6" s="100"/>
      <c r="AR6" s="98"/>
      <c r="AS6" s="99"/>
      <c r="AT6" s="100"/>
      <c r="AU6" s="98"/>
      <c r="AV6" s="99"/>
      <c r="AW6" s="100"/>
      <c r="AX6" s="98"/>
      <c r="AY6" s="101"/>
      <c r="AZ6" s="97"/>
      <c r="BA6" s="98"/>
      <c r="BB6" s="99"/>
      <c r="BC6" s="100"/>
      <c r="BD6" s="98"/>
      <c r="BE6" s="99"/>
      <c r="BF6" s="100"/>
      <c r="BG6" s="98"/>
      <c r="BH6" s="99"/>
      <c r="BI6" s="100"/>
      <c r="BJ6" s="98"/>
      <c r="BK6" s="101"/>
      <c r="BL6" s="97"/>
      <c r="BM6" s="98"/>
      <c r="BN6" s="99"/>
      <c r="BO6" s="100"/>
      <c r="BP6" s="98"/>
      <c r="BQ6" s="99"/>
      <c r="BR6" s="100"/>
      <c r="BS6" s="98"/>
      <c r="BT6" s="99"/>
      <c r="BU6" s="100"/>
      <c r="BV6" s="98"/>
      <c r="BW6" s="101"/>
      <c r="BX6" s="97"/>
      <c r="BY6" s="98"/>
      <c r="BZ6" s="99"/>
      <c r="CA6" s="100"/>
      <c r="CB6" s="98"/>
      <c r="CC6" s="99"/>
      <c r="CD6" s="100"/>
      <c r="CE6" s="98"/>
      <c r="CF6" s="99"/>
      <c r="CG6" s="100"/>
      <c r="CH6" s="98"/>
      <c r="CI6" s="101"/>
      <c r="CJ6" s="97"/>
      <c r="CK6" s="98"/>
      <c r="CL6" s="99"/>
      <c r="CM6" s="100"/>
      <c r="CN6" s="98"/>
      <c r="CO6" s="99"/>
      <c r="CP6" s="100"/>
      <c r="CQ6" s="98"/>
      <c r="CR6" s="99"/>
      <c r="CS6" s="100"/>
      <c r="CT6" s="98"/>
      <c r="CU6" s="101"/>
    </row>
    <row r="7" spans="1:99" ht="19.5" customHeight="1" x14ac:dyDescent="0.25">
      <c r="B7" s="126" t="str">
        <f>Donnees!$C$22</f>
        <v>Codding</v>
      </c>
      <c r="C7" s="102">
        <v>51</v>
      </c>
      <c r="D7" s="92"/>
      <c r="E7" s="93"/>
      <c r="F7" s="94"/>
      <c r="G7" s="95"/>
      <c r="H7" s="93"/>
      <c r="I7" s="94"/>
      <c r="J7" s="113"/>
      <c r="K7" s="111"/>
      <c r="L7" s="112"/>
      <c r="M7" s="113"/>
      <c r="N7" s="111"/>
      <c r="O7" s="114"/>
      <c r="P7" s="110"/>
      <c r="Q7" s="111"/>
      <c r="R7" s="112"/>
      <c r="S7" s="95"/>
      <c r="T7" s="93"/>
      <c r="U7" s="94"/>
      <c r="V7" s="95"/>
      <c r="W7" s="93"/>
      <c r="X7" s="94"/>
      <c r="Y7" s="95"/>
      <c r="Z7" s="93"/>
      <c r="AA7" s="96"/>
      <c r="AB7" s="110"/>
      <c r="AC7" s="111"/>
      <c r="AD7" s="112"/>
      <c r="AE7" s="113"/>
      <c r="AF7" s="111"/>
      <c r="AG7" s="112"/>
      <c r="AH7" s="95"/>
      <c r="AI7" s="93"/>
      <c r="AJ7" s="94"/>
      <c r="AK7" s="113"/>
      <c r="AL7" s="111"/>
      <c r="AM7" s="114"/>
      <c r="AN7" s="110"/>
      <c r="AO7" s="111"/>
      <c r="AP7" s="112"/>
      <c r="AQ7" s="113"/>
      <c r="AR7" s="111"/>
      <c r="AS7" s="112"/>
      <c r="AT7" s="95"/>
      <c r="AU7" s="93"/>
      <c r="AV7" s="94"/>
      <c r="AW7" s="113"/>
      <c r="AX7" s="111"/>
      <c r="AY7" s="114"/>
      <c r="AZ7" s="110"/>
      <c r="BA7" s="111"/>
      <c r="BB7" s="112"/>
      <c r="BC7" s="113"/>
      <c r="BD7" s="111"/>
      <c r="BE7" s="112"/>
      <c r="BF7" s="95"/>
      <c r="BG7" s="93"/>
      <c r="BH7" s="94"/>
      <c r="BI7" s="95"/>
      <c r="BJ7" s="93"/>
      <c r="BK7" s="96"/>
      <c r="BL7" s="110"/>
      <c r="BM7" s="111"/>
      <c r="BN7" s="112"/>
      <c r="BO7" s="113"/>
      <c r="BP7" s="111"/>
      <c r="BQ7" s="112"/>
      <c r="BR7" s="95"/>
      <c r="BS7" s="93"/>
      <c r="BT7" s="94"/>
      <c r="BU7" s="113"/>
      <c r="BV7" s="111"/>
      <c r="BW7" s="114"/>
      <c r="BX7" s="110"/>
      <c r="BY7" s="111"/>
      <c r="BZ7" s="112"/>
      <c r="CA7" s="113"/>
      <c r="CB7" s="111"/>
      <c r="CC7" s="112"/>
      <c r="CD7" s="95"/>
      <c r="CE7" s="93"/>
      <c r="CF7" s="94"/>
      <c r="CG7" s="95"/>
      <c r="CH7" s="93"/>
      <c r="CI7" s="96"/>
      <c r="CJ7" s="110"/>
      <c r="CK7" s="111"/>
      <c r="CL7" s="112"/>
      <c r="CM7" s="95"/>
      <c r="CN7" s="93"/>
      <c r="CO7" s="94"/>
      <c r="CP7" s="95"/>
      <c r="CQ7" s="93"/>
      <c r="CR7" s="94"/>
      <c r="CS7" s="95"/>
      <c r="CT7" s="93"/>
      <c r="CU7" s="96"/>
    </row>
    <row r="8" spans="1:99" ht="19.5" customHeight="1" thickBot="1" x14ac:dyDescent="0.3">
      <c r="B8" s="127"/>
      <c r="C8" s="103">
        <v>0</v>
      </c>
      <c r="D8" s="97"/>
      <c r="E8" s="98"/>
      <c r="F8" s="99"/>
      <c r="G8" s="100"/>
      <c r="H8" s="98"/>
      <c r="I8" s="99"/>
      <c r="J8" s="100"/>
      <c r="K8" s="98"/>
      <c r="L8" s="99"/>
      <c r="M8" s="100"/>
      <c r="N8" s="98"/>
      <c r="O8" s="101"/>
      <c r="P8" s="97"/>
      <c r="Q8" s="98"/>
      <c r="R8" s="99"/>
      <c r="S8" s="100"/>
      <c r="T8" s="98"/>
      <c r="U8" s="99"/>
      <c r="V8" s="100"/>
      <c r="W8" s="98"/>
      <c r="X8" s="99"/>
      <c r="Y8" s="100"/>
      <c r="Z8" s="98"/>
      <c r="AA8" s="101"/>
      <c r="AB8" s="97"/>
      <c r="AC8" s="98"/>
      <c r="AD8" s="99"/>
      <c r="AE8" s="100"/>
      <c r="AF8" s="98"/>
      <c r="AG8" s="99"/>
      <c r="AH8" s="100"/>
      <c r="AI8" s="98"/>
      <c r="AJ8" s="99"/>
      <c r="AK8" s="100"/>
      <c r="AL8" s="98"/>
      <c r="AM8" s="101"/>
      <c r="AN8" s="97"/>
      <c r="AO8" s="98"/>
      <c r="AP8" s="99"/>
      <c r="AQ8" s="100"/>
      <c r="AR8" s="98"/>
      <c r="AS8" s="99"/>
      <c r="AT8" s="100"/>
      <c r="AU8" s="98"/>
      <c r="AV8" s="99"/>
      <c r="AW8" s="100"/>
      <c r="AX8" s="98"/>
      <c r="AY8" s="101"/>
      <c r="AZ8" s="97"/>
      <c r="BA8" s="98"/>
      <c r="BB8" s="99"/>
      <c r="BC8" s="100"/>
      <c r="BD8" s="98"/>
      <c r="BE8" s="99"/>
      <c r="BF8" s="100"/>
      <c r="BG8" s="98"/>
      <c r="BH8" s="99"/>
      <c r="BI8" s="100"/>
      <c r="BJ8" s="98"/>
      <c r="BK8" s="101"/>
      <c r="BL8" s="97"/>
      <c r="BM8" s="98"/>
      <c r="BN8" s="99"/>
      <c r="BO8" s="100"/>
      <c r="BP8" s="98"/>
      <c r="BQ8" s="99"/>
      <c r="BR8" s="100"/>
      <c r="BS8" s="98"/>
      <c r="BT8" s="99"/>
      <c r="BU8" s="100"/>
      <c r="BV8" s="98"/>
      <c r="BW8" s="101"/>
      <c r="BX8" s="97"/>
      <c r="BY8" s="98"/>
      <c r="BZ8" s="99"/>
      <c r="CA8" s="100"/>
      <c r="CB8" s="98"/>
      <c r="CC8" s="99"/>
      <c r="CD8" s="100"/>
      <c r="CE8" s="98"/>
      <c r="CF8" s="99"/>
      <c r="CG8" s="100"/>
      <c r="CH8" s="98"/>
      <c r="CI8" s="101"/>
      <c r="CJ8" s="97"/>
      <c r="CK8" s="98"/>
      <c r="CL8" s="99"/>
      <c r="CM8" s="100"/>
      <c r="CN8" s="98"/>
      <c r="CO8" s="99"/>
      <c r="CP8" s="100"/>
      <c r="CQ8" s="98"/>
      <c r="CR8" s="99"/>
      <c r="CS8" s="100"/>
      <c r="CT8" s="98"/>
      <c r="CU8" s="101"/>
    </row>
    <row r="9" spans="1:99" ht="19.5" customHeight="1" x14ac:dyDescent="0.25">
      <c r="B9" s="126" t="str">
        <f>Donnees!$C$23</f>
        <v>Test</v>
      </c>
      <c r="C9" s="102">
        <v>9</v>
      </c>
      <c r="D9" s="92"/>
      <c r="E9" s="93"/>
      <c r="F9" s="94"/>
      <c r="G9" s="95"/>
      <c r="H9" s="93"/>
      <c r="I9" s="94"/>
      <c r="J9" s="95"/>
      <c r="K9" s="93"/>
      <c r="L9" s="94"/>
      <c r="M9" s="95"/>
      <c r="N9" s="93"/>
      <c r="O9" s="96"/>
      <c r="P9" s="92"/>
      <c r="Q9" s="93"/>
      <c r="R9" s="94"/>
      <c r="S9" s="95"/>
      <c r="T9" s="93"/>
      <c r="U9" s="94"/>
      <c r="V9" s="95"/>
      <c r="W9" s="93"/>
      <c r="X9" s="94"/>
      <c r="Y9" s="113"/>
      <c r="Z9" s="111"/>
      <c r="AA9" s="114"/>
      <c r="AB9" s="92"/>
      <c r="AC9" s="93"/>
      <c r="AD9" s="94"/>
      <c r="AE9" s="95"/>
      <c r="AF9" s="93"/>
      <c r="AG9" s="94"/>
      <c r="AH9" s="95"/>
      <c r="AI9" s="93"/>
      <c r="AJ9" s="94"/>
      <c r="AK9" s="95"/>
      <c r="AL9" s="93"/>
      <c r="AM9" s="96"/>
      <c r="AN9" s="92"/>
      <c r="AO9" s="93"/>
      <c r="AP9" s="94"/>
      <c r="AQ9" s="95"/>
      <c r="AR9" s="93"/>
      <c r="AS9" s="94"/>
      <c r="AT9" s="95"/>
      <c r="AU9" s="93"/>
      <c r="AV9" s="94"/>
      <c r="AW9" s="95"/>
      <c r="AX9" s="93"/>
      <c r="AY9" s="96"/>
      <c r="AZ9" s="92"/>
      <c r="BA9" s="93"/>
      <c r="BB9" s="94"/>
      <c r="BC9" s="95"/>
      <c r="BD9" s="93"/>
      <c r="BE9" s="94"/>
      <c r="BF9" s="95"/>
      <c r="BG9" s="93"/>
      <c r="BH9" s="94"/>
      <c r="BI9" s="113"/>
      <c r="BJ9" s="111"/>
      <c r="BK9" s="114"/>
      <c r="BL9" s="92"/>
      <c r="BM9" s="93"/>
      <c r="BN9" s="94"/>
      <c r="BO9" s="95"/>
      <c r="BP9" s="93"/>
      <c r="BQ9" s="94"/>
      <c r="BR9" s="95"/>
      <c r="BS9" s="93"/>
      <c r="BT9" s="94"/>
      <c r="BU9" s="95"/>
      <c r="BV9" s="93"/>
      <c r="BW9" s="96"/>
      <c r="BX9" s="92"/>
      <c r="BY9" s="93"/>
      <c r="BZ9" s="94"/>
      <c r="CA9" s="95"/>
      <c r="CB9" s="93"/>
      <c r="CC9" s="94"/>
      <c r="CD9" s="95"/>
      <c r="CE9" s="93"/>
      <c r="CF9" s="94"/>
      <c r="CG9" s="113"/>
      <c r="CH9" s="111"/>
      <c r="CI9" s="114"/>
      <c r="CJ9" s="92"/>
      <c r="CK9" s="93"/>
      <c r="CL9" s="94"/>
      <c r="CM9" s="95"/>
      <c r="CN9" s="93"/>
      <c r="CO9" s="94"/>
      <c r="CP9" s="95"/>
      <c r="CQ9" s="93"/>
      <c r="CR9" s="94"/>
      <c r="CS9" s="95"/>
      <c r="CT9" s="93"/>
      <c r="CU9" s="96"/>
    </row>
    <row r="10" spans="1:99" ht="19.5" customHeight="1" thickBot="1" x14ac:dyDescent="0.3">
      <c r="B10" s="127"/>
      <c r="C10" s="103">
        <v>0</v>
      </c>
      <c r="D10" s="97"/>
      <c r="E10" s="98"/>
      <c r="F10" s="99"/>
      <c r="G10" s="100"/>
      <c r="H10" s="98"/>
      <c r="I10" s="99"/>
      <c r="J10" s="100"/>
      <c r="K10" s="98"/>
      <c r="L10" s="99"/>
      <c r="M10" s="100"/>
      <c r="N10" s="98"/>
      <c r="O10" s="101"/>
      <c r="P10" s="97"/>
      <c r="Q10" s="98"/>
      <c r="R10" s="99"/>
      <c r="S10" s="100"/>
      <c r="T10" s="98"/>
      <c r="U10" s="99"/>
      <c r="V10" s="100"/>
      <c r="W10" s="98"/>
      <c r="X10" s="99"/>
      <c r="Y10" s="100"/>
      <c r="Z10" s="98"/>
      <c r="AA10" s="101"/>
      <c r="AB10" s="97"/>
      <c r="AC10" s="98"/>
      <c r="AD10" s="99"/>
      <c r="AE10" s="100"/>
      <c r="AF10" s="98"/>
      <c r="AG10" s="99"/>
      <c r="AH10" s="100"/>
      <c r="AI10" s="98"/>
      <c r="AJ10" s="99"/>
      <c r="AK10" s="100"/>
      <c r="AL10" s="98"/>
      <c r="AM10" s="101"/>
      <c r="AN10" s="97"/>
      <c r="AO10" s="98"/>
      <c r="AP10" s="99"/>
      <c r="AQ10" s="100"/>
      <c r="AR10" s="98"/>
      <c r="AS10" s="99"/>
      <c r="AT10" s="100"/>
      <c r="AU10" s="98"/>
      <c r="AV10" s="99"/>
      <c r="AW10" s="100"/>
      <c r="AX10" s="98"/>
      <c r="AY10" s="101"/>
      <c r="AZ10" s="97"/>
      <c r="BA10" s="98"/>
      <c r="BB10" s="99"/>
      <c r="BC10" s="100"/>
      <c r="BD10" s="98"/>
      <c r="BE10" s="99"/>
      <c r="BF10" s="100"/>
      <c r="BG10" s="98"/>
      <c r="BH10" s="99"/>
      <c r="BI10" s="100"/>
      <c r="BJ10" s="98"/>
      <c r="BK10" s="101"/>
      <c r="BL10" s="97"/>
      <c r="BM10" s="98"/>
      <c r="BN10" s="99"/>
      <c r="BO10" s="100"/>
      <c r="BP10" s="98"/>
      <c r="BQ10" s="99"/>
      <c r="BR10" s="100"/>
      <c r="BS10" s="98"/>
      <c r="BT10" s="99"/>
      <c r="BU10" s="100"/>
      <c r="BV10" s="98"/>
      <c r="BW10" s="101"/>
      <c r="BX10" s="97"/>
      <c r="BY10" s="98"/>
      <c r="BZ10" s="99"/>
      <c r="CA10" s="100"/>
      <c r="CB10" s="98"/>
      <c r="CC10" s="99"/>
      <c r="CD10" s="100"/>
      <c r="CE10" s="98"/>
      <c r="CF10" s="99"/>
      <c r="CG10" s="100"/>
      <c r="CH10" s="98"/>
      <c r="CI10" s="101"/>
      <c r="CJ10" s="97"/>
      <c r="CK10" s="98"/>
      <c r="CL10" s="99"/>
      <c r="CM10" s="100"/>
      <c r="CN10" s="98"/>
      <c r="CO10" s="99"/>
      <c r="CP10" s="100"/>
      <c r="CQ10" s="98"/>
      <c r="CR10" s="99"/>
      <c r="CS10" s="100"/>
      <c r="CT10" s="98"/>
      <c r="CU10" s="101"/>
    </row>
    <row r="11" spans="1:99" ht="19.5" customHeight="1" x14ac:dyDescent="0.25">
      <c r="B11" s="126" t="str">
        <f>Donnees!$C$24</f>
        <v>Apprendre</v>
      </c>
      <c r="C11" s="102">
        <v>3</v>
      </c>
      <c r="D11" s="92"/>
      <c r="E11" s="93"/>
      <c r="F11" s="94"/>
      <c r="G11" s="95"/>
      <c r="H11" s="93"/>
      <c r="I11" s="94"/>
      <c r="J11" s="95"/>
      <c r="K11" s="93"/>
      <c r="L11" s="94"/>
      <c r="M11" s="95"/>
      <c r="N11" s="93"/>
      <c r="O11" s="96"/>
      <c r="P11" s="92"/>
      <c r="Q11" s="93"/>
      <c r="R11" s="94"/>
      <c r="S11" s="113"/>
      <c r="T11" s="111"/>
      <c r="U11" s="112"/>
      <c r="V11" s="95"/>
      <c r="W11" s="93"/>
      <c r="X11" s="94"/>
      <c r="Y11" s="95"/>
      <c r="Z11" s="93"/>
      <c r="AA11" s="96"/>
      <c r="AB11" s="92"/>
      <c r="AC11" s="93"/>
      <c r="AD11" s="94"/>
      <c r="AE11" s="95"/>
      <c r="AF11" s="93"/>
      <c r="AG11" s="94"/>
      <c r="AH11" s="95"/>
      <c r="AI11" s="93"/>
      <c r="AJ11" s="94"/>
      <c r="AK11" s="95"/>
      <c r="AL11" s="93"/>
      <c r="AM11" s="96"/>
      <c r="AN11" s="92"/>
      <c r="AO11" s="93"/>
      <c r="AP11" s="94"/>
      <c r="AQ11" s="95"/>
      <c r="AR11" s="93"/>
      <c r="AS11" s="94"/>
      <c r="AT11" s="95"/>
      <c r="AU11" s="93"/>
      <c r="AV11" s="94"/>
      <c r="AW11" s="95"/>
      <c r="AX11" s="93"/>
      <c r="AY11" s="96"/>
      <c r="AZ11" s="92"/>
      <c r="BA11" s="93"/>
      <c r="BB11" s="94"/>
      <c r="BC11" s="95"/>
      <c r="BD11" s="93"/>
      <c r="BE11" s="94"/>
      <c r="BF11" s="95"/>
      <c r="BG11" s="93"/>
      <c r="BH11" s="94"/>
      <c r="BI11" s="95"/>
      <c r="BJ11" s="93"/>
      <c r="BK11" s="96"/>
      <c r="BL11" s="92"/>
      <c r="BM11" s="93"/>
      <c r="BN11" s="94"/>
      <c r="BO11" s="95"/>
      <c r="BP11" s="93"/>
      <c r="BQ11" s="94"/>
      <c r="BR11" s="95"/>
      <c r="BS11" s="93"/>
      <c r="BT11" s="94"/>
      <c r="BU11" s="95"/>
      <c r="BV11" s="93"/>
      <c r="BW11" s="96"/>
      <c r="BX11" s="92"/>
      <c r="BY11" s="93"/>
      <c r="BZ11" s="94"/>
      <c r="CA11" s="95"/>
      <c r="CB11" s="93"/>
      <c r="CC11" s="94"/>
      <c r="CD11" s="95"/>
      <c r="CE11" s="93"/>
      <c r="CF11" s="94"/>
      <c r="CG11" s="95"/>
      <c r="CH11" s="93"/>
      <c r="CI11" s="96"/>
      <c r="CJ11" s="92"/>
      <c r="CK11" s="93"/>
      <c r="CL11" s="94"/>
      <c r="CM11" s="95"/>
      <c r="CN11" s="93"/>
      <c r="CO11" s="94"/>
      <c r="CP11" s="95"/>
      <c r="CQ11" s="93"/>
      <c r="CR11" s="94"/>
      <c r="CS11" s="95"/>
      <c r="CT11" s="93"/>
      <c r="CU11" s="96"/>
    </row>
    <row r="12" spans="1:99" ht="19.5" customHeight="1" thickBot="1" x14ac:dyDescent="0.3">
      <c r="B12" s="127"/>
      <c r="C12" s="103">
        <v>0</v>
      </c>
      <c r="D12" s="97"/>
      <c r="E12" s="98"/>
      <c r="F12" s="99"/>
      <c r="G12" s="100"/>
      <c r="H12" s="98"/>
      <c r="I12" s="99"/>
      <c r="J12" s="100"/>
      <c r="K12" s="98"/>
      <c r="L12" s="99"/>
      <c r="M12" s="100"/>
      <c r="N12" s="98"/>
      <c r="O12" s="101"/>
      <c r="P12" s="97"/>
      <c r="Q12" s="98"/>
      <c r="R12" s="99"/>
      <c r="S12" s="100"/>
      <c r="T12" s="98"/>
      <c r="U12" s="99"/>
      <c r="V12" s="100"/>
      <c r="W12" s="98"/>
      <c r="X12" s="99"/>
      <c r="Y12" s="100"/>
      <c r="Z12" s="98"/>
      <c r="AA12" s="101"/>
      <c r="AB12" s="97"/>
      <c r="AC12" s="98"/>
      <c r="AD12" s="99"/>
      <c r="AE12" s="100"/>
      <c r="AF12" s="98"/>
      <c r="AG12" s="99"/>
      <c r="AH12" s="100"/>
      <c r="AI12" s="98"/>
      <c r="AJ12" s="99"/>
      <c r="AK12" s="100"/>
      <c r="AL12" s="98"/>
      <c r="AM12" s="101"/>
      <c r="AN12" s="97"/>
      <c r="AO12" s="98"/>
      <c r="AP12" s="99"/>
      <c r="AQ12" s="100"/>
      <c r="AR12" s="98"/>
      <c r="AS12" s="99"/>
      <c r="AT12" s="100"/>
      <c r="AU12" s="98"/>
      <c r="AV12" s="99"/>
      <c r="AW12" s="100"/>
      <c r="AX12" s="98"/>
      <c r="AY12" s="101"/>
      <c r="AZ12" s="97"/>
      <c r="BA12" s="98"/>
      <c r="BB12" s="99"/>
      <c r="BC12" s="100"/>
      <c r="BD12" s="98"/>
      <c r="BE12" s="99"/>
      <c r="BF12" s="100"/>
      <c r="BG12" s="98"/>
      <c r="BH12" s="99"/>
      <c r="BI12" s="100"/>
      <c r="BJ12" s="98"/>
      <c r="BK12" s="101"/>
      <c r="BL12" s="97"/>
      <c r="BM12" s="98"/>
      <c r="BN12" s="99"/>
      <c r="BO12" s="100"/>
      <c r="BP12" s="98"/>
      <c r="BQ12" s="99"/>
      <c r="BR12" s="100"/>
      <c r="BS12" s="98"/>
      <c r="BT12" s="99"/>
      <c r="BU12" s="100"/>
      <c r="BV12" s="98"/>
      <c r="BW12" s="101"/>
      <c r="BX12" s="97"/>
      <c r="BY12" s="98"/>
      <c r="BZ12" s="99"/>
      <c r="CA12" s="100"/>
      <c r="CB12" s="98"/>
      <c r="CC12" s="99"/>
      <c r="CD12" s="100"/>
      <c r="CE12" s="98"/>
      <c r="CF12" s="99"/>
      <c r="CG12" s="100"/>
      <c r="CH12" s="98"/>
      <c r="CI12" s="101"/>
      <c r="CJ12" s="97"/>
      <c r="CK12" s="98"/>
      <c r="CL12" s="99"/>
      <c r="CM12" s="100"/>
      <c r="CN12" s="98"/>
      <c r="CO12" s="99"/>
      <c r="CP12" s="100"/>
      <c r="CQ12" s="98"/>
      <c r="CR12" s="99"/>
      <c r="CS12" s="100"/>
      <c r="CT12" s="98"/>
      <c r="CU12" s="101"/>
    </row>
    <row r="13" spans="1:99" ht="19.5" customHeight="1" x14ac:dyDescent="0.25">
      <c r="B13" s="126" t="str">
        <f>Donnees!$C$25</f>
        <v>Fin de Projet</v>
      </c>
      <c r="C13" s="102">
        <v>3</v>
      </c>
      <c r="D13" s="92"/>
      <c r="E13" s="93"/>
      <c r="F13" s="94"/>
      <c r="G13" s="95"/>
      <c r="H13" s="93"/>
      <c r="I13" s="94"/>
      <c r="J13" s="95"/>
      <c r="K13" s="93"/>
      <c r="L13" s="94"/>
      <c r="M13" s="95"/>
      <c r="N13" s="93"/>
      <c r="O13" s="96"/>
      <c r="P13" s="92"/>
      <c r="Q13" s="93"/>
      <c r="R13" s="94"/>
      <c r="S13" s="95"/>
      <c r="T13" s="93"/>
      <c r="U13" s="94"/>
      <c r="V13" s="95"/>
      <c r="W13" s="93"/>
      <c r="X13" s="94"/>
      <c r="Y13" s="95"/>
      <c r="Z13" s="93"/>
      <c r="AA13" s="96"/>
      <c r="AB13" s="92"/>
      <c r="AC13" s="93"/>
      <c r="AD13" s="94"/>
      <c r="AE13" s="95"/>
      <c r="AF13" s="93"/>
      <c r="AG13" s="94"/>
      <c r="AH13" s="95"/>
      <c r="AI13" s="93"/>
      <c r="AJ13" s="94"/>
      <c r="AK13" s="95"/>
      <c r="AL13" s="93"/>
      <c r="AM13" s="96"/>
      <c r="AN13" s="92"/>
      <c r="AO13" s="93"/>
      <c r="AP13" s="94"/>
      <c r="AQ13" s="95"/>
      <c r="AR13" s="93"/>
      <c r="AS13" s="94"/>
      <c r="AT13" s="95"/>
      <c r="AU13" s="93"/>
      <c r="AV13" s="94"/>
      <c r="AW13" s="95"/>
      <c r="AX13" s="93"/>
      <c r="AY13" s="96"/>
      <c r="AZ13" s="92"/>
      <c r="BA13" s="93"/>
      <c r="BB13" s="94"/>
      <c r="BC13" s="95"/>
      <c r="BD13" s="93"/>
      <c r="BE13" s="94"/>
      <c r="BF13" s="95"/>
      <c r="BG13" s="93"/>
      <c r="BH13" s="94"/>
      <c r="BI13" s="95"/>
      <c r="BJ13" s="93"/>
      <c r="BK13" s="96"/>
      <c r="BL13" s="92"/>
      <c r="BM13" s="93"/>
      <c r="BN13" s="94"/>
      <c r="BO13" s="95"/>
      <c r="BP13" s="93"/>
      <c r="BQ13" s="94"/>
      <c r="BR13" s="95"/>
      <c r="BS13" s="93"/>
      <c r="BT13" s="94"/>
      <c r="BU13" s="95"/>
      <c r="BV13" s="93"/>
      <c r="BW13" s="96"/>
      <c r="BX13" s="92"/>
      <c r="BY13" s="93"/>
      <c r="BZ13" s="94"/>
      <c r="CA13" s="95"/>
      <c r="CB13" s="93"/>
      <c r="CC13" s="94"/>
      <c r="CD13" s="95"/>
      <c r="CE13" s="93"/>
      <c r="CF13" s="94"/>
      <c r="CG13" s="95"/>
      <c r="CH13" s="93"/>
      <c r="CI13" s="96"/>
      <c r="CJ13" s="92"/>
      <c r="CK13" s="93"/>
      <c r="CL13" s="94"/>
      <c r="CM13" s="95"/>
      <c r="CN13" s="93"/>
      <c r="CO13" s="94"/>
      <c r="CP13" s="113"/>
      <c r="CQ13" s="111"/>
      <c r="CR13" s="112"/>
      <c r="CS13" s="95"/>
      <c r="CT13" s="93"/>
      <c r="CU13" s="96"/>
    </row>
    <row r="14" spans="1:99" ht="19.5" customHeight="1" thickBot="1" x14ac:dyDescent="0.3">
      <c r="B14" s="127"/>
      <c r="C14" s="103">
        <v>0</v>
      </c>
      <c r="D14" s="97"/>
      <c r="E14" s="98"/>
      <c r="F14" s="99"/>
      <c r="G14" s="100"/>
      <c r="H14" s="98"/>
      <c r="I14" s="99"/>
      <c r="J14" s="100"/>
      <c r="K14" s="98"/>
      <c r="L14" s="99"/>
      <c r="M14" s="100"/>
      <c r="N14" s="98"/>
      <c r="O14" s="101"/>
      <c r="P14" s="97"/>
      <c r="Q14" s="98"/>
      <c r="R14" s="99"/>
      <c r="S14" s="100"/>
      <c r="T14" s="98"/>
      <c r="U14" s="99"/>
      <c r="V14" s="100"/>
      <c r="W14" s="98"/>
      <c r="X14" s="99"/>
      <c r="Y14" s="100"/>
      <c r="Z14" s="98"/>
      <c r="AA14" s="101"/>
      <c r="AB14" s="97"/>
      <c r="AC14" s="98"/>
      <c r="AD14" s="99"/>
      <c r="AE14" s="100"/>
      <c r="AF14" s="98"/>
      <c r="AG14" s="99"/>
      <c r="AH14" s="100"/>
      <c r="AI14" s="98"/>
      <c r="AJ14" s="99"/>
      <c r="AK14" s="100"/>
      <c r="AL14" s="98"/>
      <c r="AM14" s="101"/>
      <c r="AN14" s="97"/>
      <c r="AO14" s="98"/>
      <c r="AP14" s="99"/>
      <c r="AQ14" s="100"/>
      <c r="AR14" s="98"/>
      <c r="AS14" s="99"/>
      <c r="AT14" s="100"/>
      <c r="AU14" s="98"/>
      <c r="AV14" s="99"/>
      <c r="AW14" s="100"/>
      <c r="AX14" s="98"/>
      <c r="AY14" s="101"/>
      <c r="AZ14" s="97"/>
      <c r="BA14" s="98"/>
      <c r="BB14" s="99"/>
      <c r="BC14" s="100"/>
      <c r="BD14" s="98"/>
      <c r="BE14" s="99"/>
      <c r="BF14" s="100"/>
      <c r="BG14" s="98"/>
      <c r="BH14" s="99"/>
      <c r="BI14" s="100"/>
      <c r="BJ14" s="98"/>
      <c r="BK14" s="101"/>
      <c r="BL14" s="97"/>
      <c r="BM14" s="98"/>
      <c r="BN14" s="99"/>
      <c r="BO14" s="100"/>
      <c r="BP14" s="98"/>
      <c r="BQ14" s="99"/>
      <c r="BR14" s="100"/>
      <c r="BS14" s="98"/>
      <c r="BT14" s="99"/>
      <c r="BU14" s="100"/>
      <c r="BV14" s="98"/>
      <c r="BW14" s="101"/>
      <c r="BX14" s="97"/>
      <c r="BY14" s="98"/>
      <c r="BZ14" s="99"/>
      <c r="CA14" s="100"/>
      <c r="CB14" s="98"/>
      <c r="CC14" s="99"/>
      <c r="CD14" s="100"/>
      <c r="CE14" s="98"/>
      <c r="CF14" s="99"/>
      <c r="CG14" s="100"/>
      <c r="CH14" s="98"/>
      <c r="CI14" s="101"/>
      <c r="CJ14" s="97"/>
      <c r="CK14" s="98"/>
      <c r="CL14" s="99"/>
      <c r="CM14" s="100"/>
      <c r="CN14" s="98"/>
      <c r="CO14" s="99"/>
      <c r="CP14" s="100"/>
      <c r="CQ14" s="98"/>
      <c r="CR14" s="99"/>
      <c r="CS14" s="100"/>
      <c r="CT14" s="98"/>
      <c r="CU14" s="101"/>
    </row>
    <row r="15" spans="1:99" ht="19.5" customHeight="1" x14ac:dyDescent="0.25">
      <c r="B15" s="126" t="str">
        <f>Donnees!$C$26</f>
        <v>Absence - Imprévus</v>
      </c>
      <c r="C15" s="102">
        <v>0</v>
      </c>
      <c r="D15" s="92"/>
      <c r="E15" s="93"/>
      <c r="F15" s="94"/>
      <c r="G15" s="95"/>
      <c r="H15" s="93"/>
      <c r="I15" s="94"/>
      <c r="J15" s="95"/>
      <c r="K15" s="93"/>
      <c r="L15" s="94"/>
      <c r="M15" s="95"/>
      <c r="N15" s="93"/>
      <c r="O15" s="96"/>
      <c r="P15" s="92"/>
      <c r="Q15" s="93"/>
      <c r="R15" s="94"/>
      <c r="S15" s="95"/>
      <c r="T15" s="93"/>
      <c r="U15" s="94"/>
      <c r="V15" s="95"/>
      <c r="W15" s="93"/>
      <c r="X15" s="94"/>
      <c r="Y15" s="95"/>
      <c r="Z15" s="93"/>
      <c r="AA15" s="96"/>
      <c r="AB15" s="92"/>
      <c r="AC15" s="93"/>
      <c r="AD15" s="94"/>
      <c r="AE15" s="95"/>
      <c r="AF15" s="93"/>
      <c r="AG15" s="94"/>
      <c r="AH15" s="95"/>
      <c r="AI15" s="93"/>
      <c r="AJ15" s="94"/>
      <c r="AK15" s="95"/>
      <c r="AL15" s="93"/>
      <c r="AM15" s="96"/>
      <c r="AN15" s="92"/>
      <c r="AO15" s="93"/>
      <c r="AP15" s="94"/>
      <c r="AQ15" s="95"/>
      <c r="AR15" s="93"/>
      <c r="AS15" s="94"/>
      <c r="AT15" s="95"/>
      <c r="AU15" s="93"/>
      <c r="AV15" s="94"/>
      <c r="AW15" s="95"/>
      <c r="AX15" s="93"/>
      <c r="AY15" s="96"/>
      <c r="AZ15" s="92"/>
      <c r="BA15" s="93"/>
      <c r="BB15" s="94"/>
      <c r="BC15" s="95"/>
      <c r="BD15" s="93"/>
      <c r="BE15" s="94"/>
      <c r="BF15" s="95"/>
      <c r="BG15" s="93"/>
      <c r="BH15" s="94"/>
      <c r="BI15" s="95"/>
      <c r="BJ15" s="93"/>
      <c r="BK15" s="96"/>
      <c r="BL15" s="92"/>
      <c r="BM15" s="93"/>
      <c r="BN15" s="94"/>
      <c r="BO15" s="95"/>
      <c r="BP15" s="93"/>
      <c r="BQ15" s="94"/>
      <c r="BR15" s="95"/>
      <c r="BS15" s="93"/>
      <c r="BT15" s="94"/>
      <c r="BU15" s="95"/>
      <c r="BV15" s="93"/>
      <c r="BW15" s="96"/>
      <c r="BX15" s="92"/>
      <c r="BY15" s="93"/>
      <c r="BZ15" s="94"/>
      <c r="CA15" s="95"/>
      <c r="CB15" s="93"/>
      <c r="CC15" s="94"/>
      <c r="CD15" s="95"/>
      <c r="CE15" s="93"/>
      <c r="CF15" s="94"/>
      <c r="CG15" s="95"/>
      <c r="CH15" s="93"/>
      <c r="CI15" s="96"/>
      <c r="CJ15" s="92"/>
      <c r="CK15" s="93"/>
      <c r="CL15" s="94"/>
      <c r="CM15" s="95"/>
      <c r="CN15" s="93"/>
      <c r="CO15" s="94"/>
      <c r="CP15" s="95"/>
      <c r="CQ15" s="93"/>
      <c r="CR15" s="94"/>
      <c r="CS15" s="95"/>
      <c r="CT15" s="93"/>
      <c r="CU15" s="96"/>
    </row>
    <row r="16" spans="1:99" ht="19.5" customHeight="1" x14ac:dyDescent="0.25">
      <c r="A16" s="41"/>
      <c r="B16" s="127"/>
      <c r="C16" s="103">
        <v>0</v>
      </c>
      <c r="D16" s="97"/>
      <c r="E16" s="98"/>
      <c r="F16" s="99"/>
      <c r="G16" s="100"/>
      <c r="H16" s="98"/>
      <c r="I16" s="99"/>
      <c r="J16" s="100"/>
      <c r="K16" s="98"/>
      <c r="L16" s="99"/>
      <c r="M16" s="100"/>
      <c r="N16" s="98"/>
      <c r="O16" s="101"/>
      <c r="P16" s="97"/>
      <c r="Q16" s="98"/>
      <c r="R16" s="99"/>
      <c r="S16" s="100"/>
      <c r="T16" s="98"/>
      <c r="U16" s="99"/>
      <c r="V16" s="100"/>
      <c r="W16" s="98"/>
      <c r="X16" s="99"/>
      <c r="Y16" s="100"/>
      <c r="Z16" s="98"/>
      <c r="AA16" s="101"/>
      <c r="AB16" s="97"/>
      <c r="AC16" s="98"/>
      <c r="AD16" s="99"/>
      <c r="AE16" s="100"/>
      <c r="AF16" s="98"/>
      <c r="AG16" s="99"/>
      <c r="AH16" s="100"/>
      <c r="AI16" s="98"/>
      <c r="AJ16" s="99"/>
      <c r="AK16" s="100"/>
      <c r="AL16" s="98"/>
      <c r="AM16" s="101"/>
      <c r="AN16" s="97"/>
      <c r="AO16" s="98"/>
      <c r="AP16" s="99"/>
      <c r="AQ16" s="100"/>
      <c r="AR16" s="98"/>
      <c r="AS16" s="99"/>
      <c r="AT16" s="100"/>
      <c r="AU16" s="98"/>
      <c r="AV16" s="99"/>
      <c r="AW16" s="100"/>
      <c r="AX16" s="98"/>
      <c r="AY16" s="101"/>
      <c r="AZ16" s="97"/>
      <c r="BA16" s="98"/>
      <c r="BB16" s="99"/>
      <c r="BC16" s="100"/>
      <c r="BD16" s="98"/>
      <c r="BE16" s="99"/>
      <c r="BF16" s="100"/>
      <c r="BG16" s="98"/>
      <c r="BH16" s="99"/>
      <c r="BI16" s="100"/>
      <c r="BJ16" s="98"/>
      <c r="BK16" s="101"/>
      <c r="BL16" s="97"/>
      <c r="BM16" s="98"/>
      <c r="BN16" s="99"/>
      <c r="BO16" s="100"/>
      <c r="BP16" s="98"/>
      <c r="BQ16" s="99"/>
      <c r="BR16" s="100"/>
      <c r="BS16" s="98"/>
      <c r="BT16" s="99"/>
      <c r="BU16" s="100"/>
      <c r="BV16" s="98"/>
      <c r="BW16" s="101"/>
      <c r="BX16" s="97"/>
      <c r="BY16" s="98"/>
      <c r="BZ16" s="99"/>
      <c r="CA16" s="100"/>
      <c r="CB16" s="98"/>
      <c r="CC16" s="99"/>
      <c r="CD16" s="100"/>
      <c r="CE16" s="98"/>
      <c r="CF16" s="99"/>
      <c r="CG16" s="100"/>
      <c r="CH16" s="98"/>
      <c r="CI16" s="101"/>
      <c r="CJ16" s="97"/>
      <c r="CK16" s="98"/>
      <c r="CL16" s="99"/>
      <c r="CM16" s="100"/>
      <c r="CN16" s="98"/>
      <c r="CO16" s="99"/>
      <c r="CP16" s="100"/>
      <c r="CQ16" s="98"/>
      <c r="CR16" s="99"/>
      <c r="CS16" s="100"/>
      <c r="CT16" s="98"/>
      <c r="CU16" s="101"/>
    </row>
    <row r="17" spans="2:99" ht="19.5" customHeight="1" x14ac:dyDescent="0.25">
      <c r="B17" s="25" t="s">
        <v>19</v>
      </c>
      <c r="C17" s="27">
        <f>SUM($C$3,$C$5,$C$7,$C$9,$C$11,$C$13,$C$15)</f>
        <v>93</v>
      </c>
      <c r="D17" s="104"/>
      <c r="E17" s="105"/>
      <c r="F17" s="105"/>
      <c r="G17" s="105"/>
      <c r="H17" s="105"/>
      <c r="I17" s="105"/>
      <c r="J17" s="105"/>
      <c r="K17" s="105"/>
      <c r="L17" s="105"/>
      <c r="M17" s="105"/>
      <c r="N17" s="105"/>
      <c r="O17" s="106"/>
      <c r="P17" s="104"/>
      <c r="Q17" s="105"/>
      <c r="R17" s="105"/>
      <c r="S17" s="105"/>
      <c r="T17" s="105"/>
      <c r="U17" s="105"/>
      <c r="V17" s="105"/>
      <c r="W17" s="105"/>
      <c r="X17" s="105"/>
      <c r="Y17" s="105"/>
      <c r="Z17" s="105"/>
      <c r="AA17" s="106"/>
      <c r="AB17" s="104"/>
      <c r="AC17" s="105"/>
      <c r="AD17" s="105"/>
      <c r="AE17" s="105"/>
      <c r="AF17" s="105"/>
      <c r="AG17" s="105"/>
      <c r="AH17" s="105"/>
      <c r="AI17" s="105"/>
      <c r="AJ17" s="105"/>
      <c r="AK17" s="105"/>
      <c r="AL17" s="105"/>
      <c r="AM17" s="106"/>
      <c r="AN17" s="104"/>
      <c r="AO17" s="105"/>
      <c r="AP17" s="105"/>
      <c r="AQ17" s="105"/>
      <c r="AR17" s="105"/>
      <c r="AS17" s="105"/>
      <c r="AT17" s="105"/>
      <c r="AU17" s="105"/>
      <c r="AV17" s="105"/>
      <c r="AW17" s="105"/>
      <c r="AX17" s="105"/>
      <c r="AY17" s="106"/>
      <c r="AZ17" s="104"/>
      <c r="BA17" s="105"/>
      <c r="BB17" s="105"/>
      <c r="BC17" s="105"/>
      <c r="BD17" s="105"/>
      <c r="BE17" s="105"/>
      <c r="BF17" s="105"/>
      <c r="BG17" s="105"/>
      <c r="BH17" s="105"/>
      <c r="BI17" s="105"/>
      <c r="BJ17" s="105"/>
      <c r="BK17" s="106"/>
      <c r="BL17" s="104"/>
      <c r="BM17" s="105"/>
      <c r="BN17" s="105"/>
      <c r="BO17" s="105"/>
      <c r="BP17" s="105"/>
      <c r="BQ17" s="105"/>
      <c r="BR17" s="105"/>
      <c r="BS17" s="105"/>
      <c r="BT17" s="105"/>
      <c r="BU17" s="105"/>
      <c r="BV17" s="105"/>
      <c r="BW17" s="106"/>
      <c r="BX17" s="104"/>
      <c r="BY17" s="105"/>
      <c r="BZ17" s="105"/>
      <c r="CA17" s="105"/>
      <c r="CB17" s="105"/>
      <c r="CC17" s="105"/>
      <c r="CD17" s="105"/>
      <c r="CE17" s="105"/>
      <c r="CF17" s="105"/>
      <c r="CG17" s="105"/>
      <c r="CH17" s="105"/>
      <c r="CI17" s="106"/>
      <c r="CJ17" s="104"/>
      <c r="CK17" s="105"/>
      <c r="CL17" s="105"/>
      <c r="CM17" s="105"/>
      <c r="CN17" s="105"/>
      <c r="CO17" s="105"/>
      <c r="CP17" s="105"/>
      <c r="CQ17" s="105"/>
      <c r="CR17" s="105"/>
      <c r="CS17" s="105"/>
      <c r="CT17" s="105"/>
      <c r="CU17" s="106"/>
    </row>
    <row r="18" spans="2:99" ht="19.5" customHeight="1" thickBot="1" x14ac:dyDescent="0.3">
      <c r="B18" s="26" t="s">
        <v>20</v>
      </c>
      <c r="C18" s="28">
        <f>SUM($C$4,$C$6,$C$8,$C$10,$C$12,$C$14,$C$16)</f>
        <v>0</v>
      </c>
      <c r="D18" s="107"/>
      <c r="E18" s="108"/>
      <c r="F18" s="108"/>
      <c r="G18" s="108"/>
      <c r="H18" s="108"/>
      <c r="I18" s="108"/>
      <c r="J18" s="108"/>
      <c r="K18" s="108"/>
      <c r="L18" s="108"/>
      <c r="M18" s="108"/>
      <c r="N18" s="108"/>
      <c r="O18" s="109"/>
      <c r="P18" s="107"/>
      <c r="Q18" s="108"/>
      <c r="R18" s="108"/>
      <c r="S18" s="108"/>
      <c r="T18" s="108"/>
      <c r="U18" s="108"/>
      <c r="V18" s="108"/>
      <c r="W18" s="108"/>
      <c r="X18" s="108"/>
      <c r="Y18" s="108"/>
      <c r="Z18" s="108"/>
      <c r="AA18" s="109"/>
      <c r="AB18" s="107"/>
      <c r="AC18" s="108"/>
      <c r="AD18" s="108"/>
      <c r="AE18" s="108"/>
      <c r="AF18" s="108"/>
      <c r="AG18" s="108"/>
      <c r="AH18" s="108"/>
      <c r="AI18" s="108"/>
      <c r="AJ18" s="108"/>
      <c r="AK18" s="108"/>
      <c r="AL18" s="108"/>
      <c r="AM18" s="109"/>
      <c r="AN18" s="107"/>
      <c r="AO18" s="108"/>
      <c r="AP18" s="108"/>
      <c r="AQ18" s="108"/>
      <c r="AR18" s="108"/>
      <c r="AS18" s="108"/>
      <c r="AT18" s="108"/>
      <c r="AU18" s="108"/>
      <c r="AV18" s="108"/>
      <c r="AW18" s="108"/>
      <c r="AX18" s="108"/>
      <c r="AY18" s="109"/>
      <c r="AZ18" s="107"/>
      <c r="BA18" s="108"/>
      <c r="BB18" s="108"/>
      <c r="BC18" s="108"/>
      <c r="BD18" s="108"/>
      <c r="BE18" s="108"/>
      <c r="BF18" s="108"/>
      <c r="BG18" s="108"/>
      <c r="BH18" s="108"/>
      <c r="BI18" s="108"/>
      <c r="BJ18" s="108"/>
      <c r="BK18" s="109"/>
      <c r="BL18" s="107"/>
      <c r="BM18" s="108"/>
      <c r="BN18" s="108"/>
      <c r="BO18" s="108"/>
      <c r="BP18" s="108"/>
      <c r="BQ18" s="108"/>
      <c r="BR18" s="108"/>
      <c r="BS18" s="108"/>
      <c r="BT18" s="108"/>
      <c r="BU18" s="108"/>
      <c r="BV18" s="108"/>
      <c r="BW18" s="109"/>
      <c r="BX18" s="107"/>
      <c r="BY18" s="108"/>
      <c r="BZ18" s="108"/>
      <c r="CA18" s="108"/>
      <c r="CB18" s="108"/>
      <c r="CC18" s="108"/>
      <c r="CD18" s="108"/>
      <c r="CE18" s="108"/>
      <c r="CF18" s="108"/>
      <c r="CG18" s="108"/>
      <c r="CH18" s="108"/>
      <c r="CI18" s="109"/>
      <c r="CJ18" s="107"/>
      <c r="CK18" s="108"/>
      <c r="CL18" s="108"/>
      <c r="CM18" s="108"/>
      <c r="CN18" s="108"/>
      <c r="CO18" s="108"/>
      <c r="CP18" s="108"/>
      <c r="CQ18" s="108"/>
      <c r="CR18" s="108"/>
      <c r="CS18" s="108"/>
      <c r="CT18" s="108"/>
      <c r="CU18" s="109"/>
    </row>
  </sheetData>
  <sheetProtection insertRows="0" selectLockedCells="1"/>
  <mergeCells count="15">
    <mergeCell ref="BL2:BW2"/>
    <mergeCell ref="BX2:CI2"/>
    <mergeCell ref="CJ2:CU2"/>
    <mergeCell ref="B15:B16"/>
    <mergeCell ref="D2:O2"/>
    <mergeCell ref="P2:AA2"/>
    <mergeCell ref="AB2:AM2"/>
    <mergeCell ref="AN2:AY2"/>
    <mergeCell ref="AZ2:BK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17" xr:uid="{27978349-94C9-443B-8B4D-0254AF24D5F8}">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17</v>
      </c>
      <c r="C2" s="15" t="s">
        <v>18</v>
      </c>
    </row>
    <row r="3" spans="1:4" ht="19.5" customHeight="1" x14ac:dyDescent="0.25">
      <c r="A3" s="19"/>
      <c r="B3" s="128" t="s">
        <v>16</v>
      </c>
      <c r="C3" s="16">
        <v>0</v>
      </c>
    </row>
    <row r="4" spans="1:4" ht="19.5" customHeight="1" x14ac:dyDescent="0.25">
      <c r="A4" s="19"/>
      <c r="B4" s="129"/>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19</v>
      </c>
      <c r="C3" s="27">
        <v>0</v>
      </c>
    </row>
    <row r="4" spans="2:3" ht="18.75" thickBot="1" x14ac:dyDescent="0.3">
      <c r="B4" s="26" t="s">
        <v>20</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21</v>
      </c>
      <c r="B1" s="7">
        <v>1</v>
      </c>
      <c r="C1" s="17"/>
      <c r="D1" s="85"/>
    </row>
    <row r="2" spans="1:4" ht="27.75" thickBot="1" x14ac:dyDescent="0.3">
      <c r="A2" s="8" t="s">
        <v>22</v>
      </c>
      <c r="B2" s="18" t="s">
        <v>23</v>
      </c>
      <c r="C2" s="8" t="s">
        <v>24</v>
      </c>
      <c r="D2" s="8" t="s">
        <v>25</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26</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D53C-028A-470F-BEB6-6C040152DE42}">
  <sheetPr codeName="Feuil5"/>
  <dimension ref="A1:H113"/>
  <sheetViews>
    <sheetView topLeftCell="A29" zoomScale="85" zoomScaleNormal="85" workbookViewId="0">
      <selection activeCell="C73" sqref="C73"/>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21</v>
      </c>
      <c r="B1" s="7">
        <v>1</v>
      </c>
      <c r="C1" s="17"/>
      <c r="D1" s="85"/>
    </row>
    <row r="2" spans="1:4" ht="27.75" thickBot="1" x14ac:dyDescent="0.3">
      <c r="A2" s="8" t="s">
        <v>22</v>
      </c>
      <c r="B2" s="18" t="s">
        <v>23</v>
      </c>
      <c r="C2" s="8" t="s">
        <v>24</v>
      </c>
      <c r="D2" s="8" t="s">
        <v>25</v>
      </c>
    </row>
    <row r="3" spans="1:4" s="52" customFormat="1" x14ac:dyDescent="0.25">
      <c r="A3" s="5" t="s">
        <v>27</v>
      </c>
      <c r="B3" s="4">
        <v>6</v>
      </c>
      <c r="C3" s="9" t="s">
        <v>28</v>
      </c>
      <c r="D3" s="9"/>
    </row>
    <row r="4" spans="1:4" s="52" customFormat="1" x14ac:dyDescent="0.25">
      <c r="A4" s="1" t="s">
        <v>29</v>
      </c>
      <c r="B4" s="2">
        <v>3</v>
      </c>
      <c r="C4" s="118" t="s">
        <v>56</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26</v>
      </c>
      <c r="B13" s="12">
        <f>SUM(B3:B12)</f>
        <v>9</v>
      </c>
      <c r="C13" s="86" t="s">
        <v>30</v>
      </c>
      <c r="D13" s="13"/>
    </row>
    <row r="14" spans="1:4" ht="15" thickBot="1" x14ac:dyDescent="0.35">
      <c r="A14" s="14"/>
      <c r="B14" s="14"/>
      <c r="C14" s="14"/>
      <c r="D14" s="14"/>
    </row>
    <row r="15" spans="1:4" ht="18.75" thickBot="1" x14ac:dyDescent="0.3">
      <c r="A15" s="6" t="s">
        <v>21</v>
      </c>
      <c r="B15" s="7">
        <v>2</v>
      </c>
      <c r="C15" s="17"/>
      <c r="D15" s="85"/>
    </row>
    <row r="16" spans="1:4" ht="27.75" thickBot="1" x14ac:dyDescent="0.3">
      <c r="A16" s="8" t="s">
        <v>22</v>
      </c>
      <c r="B16" s="18" t="s">
        <v>23</v>
      </c>
      <c r="C16" s="8" t="s">
        <v>24</v>
      </c>
      <c r="D16" s="8" t="s">
        <v>25</v>
      </c>
    </row>
    <row r="17" spans="1:8" x14ac:dyDescent="0.25">
      <c r="A17" s="5" t="s">
        <v>29</v>
      </c>
      <c r="B17" s="4">
        <v>6</v>
      </c>
      <c r="C17" s="117" t="s">
        <v>55</v>
      </c>
      <c r="D17" s="9"/>
    </row>
    <row r="18" spans="1:8" x14ac:dyDescent="0.25">
      <c r="A18" s="1" t="s">
        <v>31</v>
      </c>
      <c r="B18" s="2">
        <v>3</v>
      </c>
      <c r="C18" s="10" t="s">
        <v>32</v>
      </c>
      <c r="D18" s="10"/>
    </row>
    <row r="19" spans="1:8" x14ac:dyDescent="0.25">
      <c r="A19" s="1" t="s">
        <v>27</v>
      </c>
      <c r="B19" s="2">
        <v>3</v>
      </c>
      <c r="C19" s="10" t="s">
        <v>33</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26</v>
      </c>
      <c r="B27" s="12">
        <f>SUM(B17:B26)</f>
        <v>12</v>
      </c>
      <c r="C27" s="86" t="s">
        <v>30</v>
      </c>
      <c r="D27" s="13"/>
      <c r="F27" s="36"/>
      <c r="G27" s="37"/>
      <c r="H27" s="37"/>
    </row>
    <row r="28" spans="1:8" ht="15" thickBot="1" x14ac:dyDescent="0.35">
      <c r="A28" s="14"/>
      <c r="B28" s="14"/>
      <c r="C28" s="14"/>
      <c r="D28" s="14"/>
      <c r="F28" s="36"/>
      <c r="G28" s="37"/>
      <c r="H28" s="37"/>
    </row>
    <row r="29" spans="1:8" ht="18.75" thickBot="1" x14ac:dyDescent="0.3">
      <c r="A29" s="6" t="s">
        <v>21</v>
      </c>
      <c r="B29" s="7">
        <v>3</v>
      </c>
      <c r="C29" s="17"/>
      <c r="D29" s="85"/>
      <c r="F29" s="36"/>
      <c r="G29" s="37"/>
      <c r="H29" s="37"/>
    </row>
    <row r="30" spans="1:8" ht="27.75" thickBot="1" x14ac:dyDescent="0.3">
      <c r="A30" s="8" t="s">
        <v>22</v>
      </c>
      <c r="B30" s="18" t="s">
        <v>23</v>
      </c>
      <c r="C30" s="8" t="s">
        <v>24</v>
      </c>
      <c r="D30" s="8" t="s">
        <v>25</v>
      </c>
      <c r="F30" s="38"/>
      <c r="G30" s="39"/>
      <c r="H30" s="39"/>
    </row>
    <row r="31" spans="1:8" ht="14.25" x14ac:dyDescent="0.3">
      <c r="A31" s="5" t="s">
        <v>34</v>
      </c>
      <c r="B31" s="4">
        <v>3</v>
      </c>
      <c r="C31" s="9" t="s">
        <v>35</v>
      </c>
      <c r="D31" s="9"/>
      <c r="F31" s="40"/>
      <c r="G31" s="40"/>
      <c r="H31" s="40"/>
    </row>
    <row r="32" spans="1:8" x14ac:dyDescent="0.25">
      <c r="A32" s="1" t="s">
        <v>29</v>
      </c>
      <c r="B32" s="2">
        <v>6</v>
      </c>
      <c r="C32" s="118" t="s">
        <v>57</v>
      </c>
      <c r="D32" s="10"/>
    </row>
    <row r="33" spans="1:4" x14ac:dyDescent="0.25">
      <c r="A33" s="1" t="s">
        <v>27</v>
      </c>
      <c r="B33" s="2">
        <v>3</v>
      </c>
      <c r="C33" s="10" t="s">
        <v>33</v>
      </c>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26</v>
      </c>
      <c r="B41" s="12">
        <f>SUM(B31:B40)</f>
        <v>12</v>
      </c>
      <c r="C41" s="86" t="s">
        <v>30</v>
      </c>
      <c r="D41" s="13"/>
    </row>
    <row r="42" spans="1:4" ht="15" thickBot="1" x14ac:dyDescent="0.35">
      <c r="A42" s="14"/>
      <c r="B42" s="14"/>
      <c r="C42" s="14"/>
      <c r="D42" s="14"/>
    </row>
    <row r="43" spans="1:4" ht="18.75" thickBot="1" x14ac:dyDescent="0.3">
      <c r="A43" s="6" t="s">
        <v>21</v>
      </c>
      <c r="B43" s="7">
        <v>4</v>
      </c>
      <c r="C43" s="17"/>
      <c r="D43" s="85"/>
    </row>
    <row r="44" spans="1:4" ht="27.75" thickBot="1" x14ac:dyDescent="0.3">
      <c r="A44" s="8" t="s">
        <v>22</v>
      </c>
      <c r="B44" s="18" t="s">
        <v>23</v>
      </c>
      <c r="C44" s="8" t="s">
        <v>24</v>
      </c>
      <c r="D44" s="8" t="s">
        <v>25</v>
      </c>
    </row>
    <row r="45" spans="1:4" x14ac:dyDescent="0.25">
      <c r="A45" s="5" t="s">
        <v>29</v>
      </c>
      <c r="B45" s="4">
        <v>9</v>
      </c>
      <c r="C45" s="117" t="s">
        <v>58</v>
      </c>
      <c r="D45" s="9"/>
    </row>
    <row r="46" spans="1:4" x14ac:dyDescent="0.25">
      <c r="A46" s="1" t="s">
        <v>27</v>
      </c>
      <c r="B46" s="2">
        <v>3</v>
      </c>
      <c r="C46" s="10" t="s">
        <v>36</v>
      </c>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26</v>
      </c>
      <c r="B55" s="12">
        <f>SUM(B45:B54)</f>
        <v>12</v>
      </c>
      <c r="C55" s="86" t="s">
        <v>30</v>
      </c>
      <c r="D55" s="13"/>
    </row>
    <row r="56" spans="1:4" ht="15" thickBot="1" x14ac:dyDescent="0.35">
      <c r="A56" s="14"/>
      <c r="B56" s="14"/>
      <c r="C56" s="14"/>
      <c r="D56" s="14"/>
    </row>
    <row r="57" spans="1:4" ht="18.75" thickBot="1" x14ac:dyDescent="0.3">
      <c r="A57" s="6" t="s">
        <v>21</v>
      </c>
      <c r="B57" s="7">
        <v>5</v>
      </c>
      <c r="C57" s="17"/>
      <c r="D57" s="85"/>
    </row>
    <row r="58" spans="1:4" ht="27.75" thickBot="1" x14ac:dyDescent="0.3">
      <c r="A58" s="8" t="s">
        <v>22</v>
      </c>
      <c r="B58" s="18" t="s">
        <v>23</v>
      </c>
      <c r="C58" s="8" t="s">
        <v>24</v>
      </c>
      <c r="D58" s="8" t="s">
        <v>25</v>
      </c>
    </row>
    <row r="59" spans="1:4" x14ac:dyDescent="0.25">
      <c r="A59" s="5" t="s">
        <v>29</v>
      </c>
      <c r="B59" s="4">
        <v>9</v>
      </c>
      <c r="C59" s="117" t="s">
        <v>59</v>
      </c>
      <c r="D59" s="9"/>
    </row>
    <row r="60" spans="1:4" x14ac:dyDescent="0.25">
      <c r="A60" s="1" t="s">
        <v>27</v>
      </c>
      <c r="B60" s="2">
        <v>3</v>
      </c>
      <c r="C60" s="10" t="s">
        <v>36</v>
      </c>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26</v>
      </c>
      <c r="B69" s="12">
        <f>SUM(B59:B68)</f>
        <v>12</v>
      </c>
      <c r="C69" s="86" t="s">
        <v>30</v>
      </c>
      <c r="D69" s="13"/>
    </row>
    <row r="70" spans="1:4" ht="15" thickBot="1" x14ac:dyDescent="0.35">
      <c r="A70" s="14"/>
      <c r="B70" s="14"/>
      <c r="C70" s="14"/>
      <c r="D70" s="14"/>
    </row>
    <row r="71" spans="1:4" ht="18.75" thickBot="1" x14ac:dyDescent="0.3">
      <c r="A71" s="6" t="s">
        <v>21</v>
      </c>
      <c r="B71" s="7">
        <v>6</v>
      </c>
      <c r="C71" s="17"/>
      <c r="D71" s="85"/>
    </row>
    <row r="72" spans="1:4" ht="27.75" thickBot="1" x14ac:dyDescent="0.3">
      <c r="A72" s="8" t="s">
        <v>22</v>
      </c>
      <c r="B72" s="18" t="s">
        <v>23</v>
      </c>
      <c r="C72" s="8" t="s">
        <v>24</v>
      </c>
      <c r="D72" s="8" t="s">
        <v>25</v>
      </c>
    </row>
    <row r="73" spans="1:4" x14ac:dyDescent="0.25">
      <c r="A73" s="5" t="s">
        <v>34</v>
      </c>
      <c r="B73" s="4">
        <v>3</v>
      </c>
      <c r="C73" s="117" t="s">
        <v>61</v>
      </c>
      <c r="D73" s="9"/>
    </row>
    <row r="74" spans="1:4" x14ac:dyDescent="0.25">
      <c r="A74" s="1" t="s">
        <v>29</v>
      </c>
      <c r="B74" s="2">
        <v>6</v>
      </c>
      <c r="C74" s="10" t="s">
        <v>37</v>
      </c>
      <c r="D74" s="10"/>
    </row>
    <row r="75" spans="1:4" x14ac:dyDescent="0.25">
      <c r="A75" s="1" t="s">
        <v>27</v>
      </c>
      <c r="B75" s="2">
        <v>3</v>
      </c>
      <c r="C75" s="10" t="s">
        <v>36</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26</v>
      </c>
      <c r="B83" s="12">
        <f>SUM(B73:B82)</f>
        <v>12</v>
      </c>
      <c r="C83" s="86" t="s">
        <v>30</v>
      </c>
      <c r="D83" s="13"/>
    </row>
    <row r="84" spans="1:4" ht="15" thickBot="1" x14ac:dyDescent="0.35">
      <c r="A84" s="14"/>
      <c r="B84" s="14"/>
      <c r="C84" s="14"/>
      <c r="D84" s="14"/>
    </row>
    <row r="85" spans="1:4" ht="18.75" thickBot="1" x14ac:dyDescent="0.3">
      <c r="A85" s="6" t="s">
        <v>21</v>
      </c>
      <c r="B85" s="7">
        <v>7</v>
      </c>
      <c r="C85" s="17"/>
      <c r="D85" s="85"/>
    </row>
    <row r="86" spans="1:4" ht="27.75" thickBot="1" x14ac:dyDescent="0.3">
      <c r="A86" s="8" t="s">
        <v>22</v>
      </c>
      <c r="B86" s="18" t="s">
        <v>23</v>
      </c>
      <c r="C86" s="8" t="s">
        <v>24</v>
      </c>
      <c r="D86" s="8" t="s">
        <v>25</v>
      </c>
    </row>
    <row r="87" spans="1:4" x14ac:dyDescent="0.25">
      <c r="A87" s="5" t="s">
        <v>29</v>
      </c>
      <c r="B87" s="4">
        <v>9</v>
      </c>
      <c r="C87" s="117" t="s">
        <v>60</v>
      </c>
      <c r="D87" s="9"/>
    </row>
    <row r="88" spans="1:4" x14ac:dyDescent="0.25">
      <c r="A88" s="1" t="s">
        <v>27</v>
      </c>
      <c r="B88" s="2">
        <v>3</v>
      </c>
      <c r="C88" s="10" t="s">
        <v>36</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26</v>
      </c>
      <c r="B97" s="12">
        <f>SUM(B87:B96)</f>
        <v>12</v>
      </c>
      <c r="C97" s="86" t="s">
        <v>30</v>
      </c>
      <c r="D97" s="13"/>
    </row>
    <row r="98" spans="1:4" ht="15" thickBot="1" x14ac:dyDescent="0.35">
      <c r="A98" s="14"/>
      <c r="B98" s="14"/>
      <c r="C98" s="14"/>
      <c r="D98" s="14"/>
    </row>
    <row r="99" spans="1:4" ht="18.75" thickBot="1" x14ac:dyDescent="0.3">
      <c r="A99" s="6" t="s">
        <v>21</v>
      </c>
      <c r="B99" s="7">
        <v>8</v>
      </c>
      <c r="C99" s="17"/>
      <c r="D99" s="85"/>
    </row>
    <row r="100" spans="1:4" ht="27.75" thickBot="1" x14ac:dyDescent="0.3">
      <c r="A100" s="8" t="s">
        <v>22</v>
      </c>
      <c r="B100" s="18" t="s">
        <v>23</v>
      </c>
      <c r="C100" s="8" t="s">
        <v>24</v>
      </c>
      <c r="D100" s="8" t="s">
        <v>25</v>
      </c>
    </row>
    <row r="101" spans="1:4" x14ac:dyDescent="0.25">
      <c r="A101" s="5" t="s">
        <v>34</v>
      </c>
      <c r="B101" s="4">
        <v>3</v>
      </c>
      <c r="C101" s="9" t="s">
        <v>38</v>
      </c>
      <c r="D101" s="9"/>
    </row>
    <row r="102" spans="1:4" x14ac:dyDescent="0.25">
      <c r="A102" s="1" t="s">
        <v>29</v>
      </c>
      <c r="B102" s="2">
        <v>3</v>
      </c>
      <c r="C102" s="10" t="s">
        <v>39</v>
      </c>
      <c r="D102" s="10"/>
    </row>
    <row r="103" spans="1:4" x14ac:dyDescent="0.25">
      <c r="A103" s="1" t="s">
        <v>27</v>
      </c>
      <c r="B103" s="2">
        <v>3</v>
      </c>
      <c r="C103" s="10" t="s">
        <v>40</v>
      </c>
      <c r="D103" s="10"/>
    </row>
    <row r="104" spans="1:4" x14ac:dyDescent="0.25">
      <c r="A104" s="1" t="s">
        <v>44</v>
      </c>
      <c r="B104" s="2">
        <v>3</v>
      </c>
      <c r="C104" s="10" t="s">
        <v>41</v>
      </c>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26</v>
      </c>
      <c r="B111" s="12">
        <f>SUM(B101:B110)</f>
        <v>12</v>
      </c>
      <c r="C111" s="86" t="s">
        <v>30</v>
      </c>
      <c r="D111" s="13"/>
    </row>
    <row r="112" spans="1:4" ht="14.25" x14ac:dyDescent="0.3">
      <c r="A112" s="14"/>
      <c r="B112" s="14"/>
      <c r="C112" s="14"/>
      <c r="D112" s="14"/>
    </row>
    <row r="113" spans="1:1" x14ac:dyDescent="0.25">
      <c r="A113" s="87" t="s">
        <v>42</v>
      </c>
    </row>
  </sheetData>
  <sheetProtection sheet="1" objects="1" scenarios="1" insertRows="0" selectLockedCells="1"/>
  <dataValidations count="4">
    <dataValidation type="list" allowBlank="1" showInputMessage="1" showErrorMessage="1" sqref="A3:A12 A17:A26 A31:A40 A45:A54 A59:A68 A73:A82 A87:A96 A101:A110" xr:uid="{0D66703E-F835-4B67-8E64-FB5BFA79FDF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9F08E8A8-439F-413A-9615-262726C2E90D}">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0329A862-5A94-4ACA-AABD-9282D4CCF8B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482C054-5097-45D1-8117-030CDC766044}">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21</v>
      </c>
      <c r="B1" s="43">
        <v>1</v>
      </c>
      <c r="C1" s="44" t="s">
        <v>43</v>
      </c>
      <c r="D1" s="53"/>
    </row>
    <row r="2" spans="1:4" ht="27.75" thickBot="1" x14ac:dyDescent="0.3">
      <c r="A2" s="45" t="s">
        <v>22</v>
      </c>
      <c r="B2" s="46" t="s">
        <v>23</v>
      </c>
      <c r="C2" s="45" t="s">
        <v>24</v>
      </c>
      <c r="D2" s="45" t="s">
        <v>25</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26</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7D1D-4376-4B33-B454-29F9ED4BB922}">
  <sheetPr codeName="Feuil9"/>
  <dimension ref="A1:H153"/>
  <sheetViews>
    <sheetView tabSelected="1" topLeftCell="A100" workbookViewId="0">
      <selection activeCell="H113" sqref="H113"/>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21</v>
      </c>
      <c r="B1" s="43">
        <v>1</v>
      </c>
      <c r="C1" s="44" t="s">
        <v>43</v>
      </c>
      <c r="D1" s="53">
        <f>Donnees!$C$9</f>
        <v>46262</v>
      </c>
    </row>
    <row r="2" spans="1:4" ht="27.75" thickBot="1" x14ac:dyDescent="0.3">
      <c r="A2" s="45" t="s">
        <v>22</v>
      </c>
      <c r="B2" s="46" t="s">
        <v>23</v>
      </c>
      <c r="C2" s="45" t="s">
        <v>24</v>
      </c>
      <c r="D2" s="45" t="s">
        <v>25</v>
      </c>
    </row>
    <row r="3" spans="1:4" s="52" customFormat="1" ht="27" x14ac:dyDescent="0.25">
      <c r="A3" s="5" t="s">
        <v>27</v>
      </c>
      <c r="B3" s="89">
        <v>9</v>
      </c>
      <c r="C3" s="115" t="s">
        <v>53</v>
      </c>
      <c r="D3" s="116" t="s">
        <v>54</v>
      </c>
    </row>
    <row r="4" spans="1:4" s="52" customFormat="1" x14ac:dyDescent="0.25">
      <c r="A4" s="1"/>
      <c r="B4" s="90"/>
      <c r="C4" s="91"/>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26</v>
      </c>
      <c r="B18" s="47">
        <f>SUM(B3:B17)</f>
        <v>9</v>
      </c>
      <c r="C18" s="88" t="s">
        <v>30</v>
      </c>
      <c r="D18" s="48"/>
    </row>
    <row r="19" spans="1:8" ht="15" thickBot="1" x14ac:dyDescent="0.35">
      <c r="A19" s="49"/>
      <c r="B19" s="49"/>
      <c r="C19" s="49"/>
      <c r="D19" s="49"/>
    </row>
    <row r="20" spans="1:8" ht="18.75" thickBot="1" x14ac:dyDescent="0.3">
      <c r="A20" s="42" t="s">
        <v>21</v>
      </c>
      <c r="B20" s="43">
        <v>2</v>
      </c>
      <c r="C20" s="44" t="s">
        <v>43</v>
      </c>
      <c r="D20" s="53">
        <f>$D$1+7</f>
        <v>46269</v>
      </c>
    </row>
    <row r="21" spans="1:8" ht="27.75" thickBot="1" x14ac:dyDescent="0.3">
      <c r="A21" s="45" t="s">
        <v>22</v>
      </c>
      <c r="B21" s="46" t="s">
        <v>23</v>
      </c>
      <c r="C21" s="45" t="s">
        <v>24</v>
      </c>
      <c r="D21" s="45" t="s">
        <v>25</v>
      </c>
    </row>
    <row r="22" spans="1:8" ht="27" x14ac:dyDescent="0.25">
      <c r="A22" s="119" t="s">
        <v>27</v>
      </c>
      <c r="B22" s="4">
        <v>6</v>
      </c>
      <c r="C22" s="117" t="s">
        <v>62</v>
      </c>
      <c r="D22" s="9"/>
    </row>
    <row r="23" spans="1:8" x14ac:dyDescent="0.25">
      <c r="A23" s="1" t="s">
        <v>27</v>
      </c>
      <c r="B23" s="2">
        <v>3</v>
      </c>
      <c r="C23" s="118" t="s">
        <v>63</v>
      </c>
      <c r="D23" s="120" t="s">
        <v>64</v>
      </c>
    </row>
    <row r="24" spans="1:8" x14ac:dyDescent="0.25">
      <c r="A24" s="1" t="s">
        <v>27</v>
      </c>
      <c r="B24" s="2">
        <v>3</v>
      </c>
      <c r="C24" s="118" t="s">
        <v>65</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26</v>
      </c>
      <c r="B37" s="47">
        <f>SUM(B22:B36)</f>
        <v>12</v>
      </c>
      <c r="C37" s="88" t="s">
        <v>30</v>
      </c>
      <c r="D37" s="48"/>
    </row>
    <row r="38" spans="1:8" ht="15" thickBot="1" x14ac:dyDescent="0.35">
      <c r="A38" s="49"/>
      <c r="B38" s="49"/>
      <c r="C38" s="49"/>
      <c r="D38" s="49"/>
    </row>
    <row r="39" spans="1:8" ht="18.75" thickBot="1" x14ac:dyDescent="0.3">
      <c r="A39" s="42" t="s">
        <v>21</v>
      </c>
      <c r="B39" s="43">
        <v>3</v>
      </c>
      <c r="C39" s="44" t="s">
        <v>43</v>
      </c>
      <c r="D39" s="53">
        <f>$D$20+7</f>
        <v>46276</v>
      </c>
    </row>
    <row r="40" spans="1:8" ht="27.75" thickBot="1" x14ac:dyDescent="0.3">
      <c r="A40" s="45" t="s">
        <v>22</v>
      </c>
      <c r="B40" s="46" t="s">
        <v>23</v>
      </c>
      <c r="C40" s="45" t="s">
        <v>24</v>
      </c>
      <c r="D40" s="45" t="s">
        <v>25</v>
      </c>
    </row>
    <row r="41" spans="1:8" ht="27" x14ac:dyDescent="0.25">
      <c r="A41" s="5" t="s">
        <v>29</v>
      </c>
      <c r="B41" s="4">
        <v>12</v>
      </c>
      <c r="C41" s="117" t="s">
        <v>66</v>
      </c>
      <c r="D41" s="120" t="s">
        <v>64</v>
      </c>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26</v>
      </c>
      <c r="B56" s="47">
        <f>SUM(B41:B55)</f>
        <v>12</v>
      </c>
      <c r="C56" s="88" t="s">
        <v>30</v>
      </c>
      <c r="D56" s="48"/>
    </row>
    <row r="57" spans="1:4" ht="15" thickBot="1" x14ac:dyDescent="0.35">
      <c r="A57" s="49"/>
      <c r="B57" s="49"/>
      <c r="C57" s="49"/>
      <c r="D57" s="49"/>
    </row>
    <row r="58" spans="1:4" ht="18.75" thickBot="1" x14ac:dyDescent="0.3">
      <c r="A58" s="42" t="s">
        <v>21</v>
      </c>
      <c r="B58" s="43">
        <v>4</v>
      </c>
      <c r="C58" s="44" t="s">
        <v>43</v>
      </c>
      <c r="D58" s="53">
        <f>$D$39+7</f>
        <v>46283</v>
      </c>
    </row>
    <row r="59" spans="1:4" ht="27.75" thickBot="1" x14ac:dyDescent="0.3">
      <c r="A59" s="45" t="s">
        <v>22</v>
      </c>
      <c r="B59" s="46" t="s">
        <v>23</v>
      </c>
      <c r="C59" s="45" t="s">
        <v>24</v>
      </c>
      <c r="D59" s="45" t="s">
        <v>25</v>
      </c>
    </row>
    <row r="60" spans="1:4" ht="27" x14ac:dyDescent="0.25">
      <c r="A60" s="5" t="s">
        <v>29</v>
      </c>
      <c r="B60" s="4">
        <v>9</v>
      </c>
      <c r="C60" s="117" t="s">
        <v>68</v>
      </c>
      <c r="D60" s="9"/>
    </row>
    <row r="61" spans="1:4" ht="27" x14ac:dyDescent="0.25">
      <c r="A61" s="1" t="s">
        <v>34</v>
      </c>
      <c r="B61" s="2">
        <v>3</v>
      </c>
      <c r="C61" s="118" t="s">
        <v>67</v>
      </c>
      <c r="D61" s="120" t="s">
        <v>64</v>
      </c>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26</v>
      </c>
      <c r="B75" s="47">
        <f>SUM(B60:B74)</f>
        <v>12</v>
      </c>
      <c r="C75" s="88" t="s">
        <v>30</v>
      </c>
      <c r="D75" s="48"/>
    </row>
    <row r="76" spans="1:4" ht="15" thickBot="1" x14ac:dyDescent="0.35">
      <c r="A76" s="49"/>
      <c r="B76" s="49"/>
      <c r="C76" s="49"/>
      <c r="D76" s="49"/>
    </row>
    <row r="77" spans="1:4" ht="18.75" thickBot="1" x14ac:dyDescent="0.3">
      <c r="A77" s="42" t="s">
        <v>21</v>
      </c>
      <c r="B77" s="43">
        <v>5</v>
      </c>
      <c r="C77" s="44" t="s">
        <v>43</v>
      </c>
      <c r="D77" s="53">
        <f>$D$58+7</f>
        <v>46290</v>
      </c>
    </row>
    <row r="78" spans="1:4" ht="27.75" thickBot="1" x14ac:dyDescent="0.3">
      <c r="A78" s="45" t="s">
        <v>22</v>
      </c>
      <c r="B78" s="46" t="s">
        <v>23</v>
      </c>
      <c r="C78" s="45" t="s">
        <v>24</v>
      </c>
      <c r="D78" s="45" t="s">
        <v>25</v>
      </c>
    </row>
    <row r="79" spans="1:4" ht="40.5" x14ac:dyDescent="0.25">
      <c r="A79" s="5" t="s">
        <v>29</v>
      </c>
      <c r="B79" s="4">
        <v>6</v>
      </c>
      <c r="C79" s="117" t="s">
        <v>69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26</v>
      </c>
      <c r="B94" s="47">
        <f>SUM(B79:B93)</f>
        <v>6</v>
      </c>
      <c r="C94" s="88" t="s">
        <v>30</v>
      </c>
      <c r="D94" s="48"/>
    </row>
    <row r="95" spans="1:4" ht="15" thickBot="1" x14ac:dyDescent="0.35">
      <c r="A95" s="49"/>
      <c r="B95" s="49"/>
      <c r="C95" s="49"/>
      <c r="D95" s="49"/>
    </row>
    <row r="96" spans="1:4" ht="18.75" thickBot="1" x14ac:dyDescent="0.3">
      <c r="A96" s="42" t="s">
        <v>21</v>
      </c>
      <c r="B96" s="43">
        <v>6</v>
      </c>
      <c r="C96" s="44" t="s">
        <v>43</v>
      </c>
      <c r="D96" s="53">
        <f>$D$77+7</f>
        <v>46297</v>
      </c>
    </row>
    <row r="97" spans="1:4" ht="27.75" thickBot="1" x14ac:dyDescent="0.3">
      <c r="A97" s="45" t="s">
        <v>22</v>
      </c>
      <c r="B97" s="46" t="s">
        <v>23</v>
      </c>
      <c r="C97" s="45" t="s">
        <v>24</v>
      </c>
      <c r="D97" s="45" t="s">
        <v>25</v>
      </c>
    </row>
    <row r="98" spans="1:4" ht="27" x14ac:dyDescent="0.25">
      <c r="A98" s="1" t="s">
        <v>29</v>
      </c>
      <c r="B98" s="4">
        <v>9</v>
      </c>
      <c r="C98" s="117" t="s">
        <v>70</v>
      </c>
      <c r="D98" s="9"/>
    </row>
    <row r="99" spans="1:4" ht="40.5" x14ac:dyDescent="0.25">
      <c r="A99" s="132" t="s">
        <v>29</v>
      </c>
      <c r="B99" s="2">
        <v>3</v>
      </c>
      <c r="C99" s="118" t="s">
        <v>71</v>
      </c>
      <c r="D99" s="10" t="s">
        <v>72</v>
      </c>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26</v>
      </c>
      <c r="B113" s="47">
        <f>SUM(B98:B112)</f>
        <v>12</v>
      </c>
      <c r="C113" s="88" t="s">
        <v>30</v>
      </c>
      <c r="D113" s="48"/>
    </row>
    <row r="114" spans="1:4" ht="15" thickBot="1" x14ac:dyDescent="0.35">
      <c r="A114" s="49"/>
      <c r="B114" s="49"/>
      <c r="C114" s="49"/>
      <c r="D114" s="49"/>
    </row>
    <row r="115" spans="1:4" ht="18.75" thickBot="1" x14ac:dyDescent="0.3">
      <c r="A115" s="42" t="s">
        <v>21</v>
      </c>
      <c r="B115" s="43">
        <v>7</v>
      </c>
      <c r="C115" s="44" t="s">
        <v>43</v>
      </c>
      <c r="D115" s="53">
        <v>46300</v>
      </c>
    </row>
    <row r="116" spans="1:4" ht="27.75" thickBot="1" x14ac:dyDescent="0.3">
      <c r="A116" s="45" t="s">
        <v>22</v>
      </c>
      <c r="B116" s="46" t="s">
        <v>23</v>
      </c>
      <c r="C116" s="45" t="s">
        <v>24</v>
      </c>
      <c r="D116" s="45" t="s">
        <v>25</v>
      </c>
    </row>
    <row r="117" spans="1:4" x14ac:dyDescent="0.25">
      <c r="A117" s="5" t="s">
        <v>29</v>
      </c>
      <c r="B117" s="4">
        <v>3</v>
      </c>
      <c r="C117" s="131" t="s">
        <v>73</v>
      </c>
      <c r="D117" s="9"/>
    </row>
    <row r="118" spans="1:4" x14ac:dyDescent="0.25">
      <c r="A118" s="1" t="s">
        <v>29</v>
      </c>
      <c r="B118" s="2">
        <v>3</v>
      </c>
      <c r="C118" s="133" t="s">
        <v>74</v>
      </c>
      <c r="D118" s="10"/>
    </row>
    <row r="119" spans="1:4" x14ac:dyDescent="0.25">
      <c r="A119" s="134" t="s">
        <v>29</v>
      </c>
      <c r="B119" s="2">
        <v>6</v>
      </c>
      <c r="C119" s="133" t="s">
        <v>75</v>
      </c>
      <c r="D119" s="10"/>
    </row>
    <row r="120" spans="1:4" x14ac:dyDescent="0.25">
      <c r="A120" s="1" t="s">
        <v>29</v>
      </c>
      <c r="B120" s="2">
        <v>3</v>
      </c>
      <c r="C120" s="133" t="s">
        <v>76</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26</v>
      </c>
      <c r="B132" s="47">
        <f>SUM(B117:B131)</f>
        <v>15</v>
      </c>
      <c r="C132" s="88" t="s">
        <v>30</v>
      </c>
      <c r="D132" s="48"/>
    </row>
    <row r="133" spans="1:4" ht="15" thickBot="1" x14ac:dyDescent="0.35">
      <c r="A133" s="49"/>
      <c r="B133" s="49"/>
      <c r="C133" s="49"/>
      <c r="D133" s="49"/>
    </row>
    <row r="134" spans="1:4" ht="18.75" thickBot="1" x14ac:dyDescent="0.3">
      <c r="A134" s="42" t="s">
        <v>21</v>
      </c>
      <c r="B134" s="43">
        <v>8</v>
      </c>
      <c r="C134" s="44" t="s">
        <v>43</v>
      </c>
      <c r="D134" s="53">
        <f>$D$115+7</f>
        <v>46307</v>
      </c>
    </row>
    <row r="135" spans="1:4" ht="27.75" thickBot="1" x14ac:dyDescent="0.3">
      <c r="A135" s="45" t="s">
        <v>22</v>
      </c>
      <c r="B135" s="46" t="s">
        <v>23</v>
      </c>
      <c r="C135" s="45" t="s">
        <v>24</v>
      </c>
      <c r="D135" s="45" t="s">
        <v>25</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26</v>
      </c>
      <c r="B151" s="47">
        <f>SUM(B136:B150)</f>
        <v>0</v>
      </c>
      <c r="C151" s="88" t="s">
        <v>30</v>
      </c>
      <c r="D151" s="48"/>
    </row>
    <row r="152" spans="1:4" ht="14.25" x14ac:dyDescent="0.3">
      <c r="A152" s="49"/>
      <c r="B152" s="49"/>
      <c r="C152" s="49"/>
      <c r="D152" s="49"/>
    </row>
    <row r="153" spans="1:4" x14ac:dyDescent="0.25">
      <c r="A153" s="87" t="s">
        <v>42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A7161334-76A8-413A-B357-2D3799B066C8}">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79:B93 B98:B112 B117:B131 B3:B17" xr:uid="{8ACBC33A-3A06-47CD-82C9-26E02758FBF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4CC7C23-3B4A-4CF3-A732-3DDFFDB4B03B}">
      <formula1>0</formula1>
      <formula2>NbPerWeek * NbQuartPer</formula2>
    </dataValidation>
    <dataValidation type="list" allowBlank="1" showInputMessage="1" showErrorMessage="1" sqref="A136:A150 A22:A36 A41:A55 A60:A74 A79:A93 A117:A131 A3:A17 A98 A100:A112" xr:uid="{E2BCF87A-1074-4026-BD84-967D90C857FE}">
      <formula1>lstTasks</formula1>
    </dataValidation>
  </dataValidations>
  <hyperlinks>
    <hyperlink ref="D3" r:id="rId1" display="https://eduvaud-my.sharepoint.com/:w:/r/personal/pr55xpt_eduvaud_ch/Documents/Informatique/320_Module/P_320_Parking/R-POO-pr55xpt.docx?d=w333f0c3d6582477ea35f6235b79d75df&amp;csf=1&amp;web=1&amp;e=dGXXwk" xr:uid="{21744BDC-815A-4EF7-81AC-3B1020C48CB7}"/>
    <hyperlink ref="D23" r:id="rId2" xr:uid="{328F7923-59AA-4993-AE9E-BB5CBF662AE9}"/>
    <hyperlink ref="D41" r:id="rId3" xr:uid="{F6881B6B-082F-4DDE-B00E-40EAE37C6D68}"/>
    <hyperlink ref="D61" r:id="rId4" xr:uid="{FC4B3EC9-FC36-4C7F-9F25-235D06F84360}"/>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4403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44033" r:id="rId8"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d34d2eb8-aa87-4c38-a373-01f97eab4f12"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139F18E15A6E246BE4A06A7671E3706" ma:contentTypeVersion="15" ma:contentTypeDescription="Crée un document." ma:contentTypeScope="" ma:versionID="7dc96c8416792914601b0f1d8b06e9eb">
  <xsd:schema xmlns:xsd="http://www.w3.org/2001/XMLSchema" xmlns:xs="http://www.w3.org/2001/XMLSchema" xmlns:p="http://schemas.microsoft.com/office/2006/metadata/properties" xmlns:ns3="d34d2eb8-aa87-4c38-a373-01f97eab4f12" xmlns:ns4="0728bee3-09a3-4a0b-bc06-9ca6df97b26c" targetNamespace="http://schemas.microsoft.com/office/2006/metadata/properties" ma:root="true" ma:fieldsID="8c875cbc56842590177adbc218ffe707" ns3:_="" ns4:_="">
    <xsd:import namespace="d34d2eb8-aa87-4c38-a373-01f97eab4f12"/>
    <xsd:import namespace="0728bee3-09a3-4a0b-bc06-9ca6df97b26c"/>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4:SharedWithUsers" minOccurs="0"/>
                <xsd:element ref="ns4:SharedWithDetails" minOccurs="0"/>
                <xsd:element ref="ns4:SharingHintHash" minOccurs="0"/>
                <xsd:element ref="ns3:_activity" minOccurs="0"/>
                <xsd:element ref="ns3:MediaServiceDateTaken" minOccurs="0"/>
                <xsd:element ref="ns3:MediaServiceLocation" minOccurs="0"/>
                <xsd:element ref="ns3:MediaServiceObjectDetectorVersions" minOccurs="0"/>
                <xsd:element ref="ns3:MediaServiceOCR"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4d2eb8-aa87-4c38-a373-01f97eab4f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28bee3-09a3-4a0b-bc06-9ca6df97b26c"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SharingHintHash" ma:index="15"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d34d2eb8-aa87-4c38-a373-01f97eab4f12"/>
  </ds:schemaRefs>
</ds:datastoreItem>
</file>

<file path=customXml/itemProps3.xml><?xml version="1.0" encoding="utf-8"?>
<ds:datastoreItem xmlns:ds="http://schemas.openxmlformats.org/officeDocument/2006/customXml" ds:itemID="{FA984067-85B0-4618-8C6F-BAD33CD1A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4d2eb8-aa87-4c38-a373-01f97eab4f12"/>
    <ds:schemaRef ds:uri="0728bee3-09a3-4a0b-bc06-9ca6df97b2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JdT</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JdT!objRealizedWeek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Maksym Tsybulevskyi</dc:creator>
  <cp:keywords/>
  <dc:description/>
  <cp:lastModifiedBy>Maksym Tsybulevskyi</cp:lastModifiedBy>
  <cp:revision/>
  <dcterms:created xsi:type="dcterms:W3CDTF">1996-10-21T11:03:58Z</dcterms:created>
  <dcterms:modified xsi:type="dcterms:W3CDTF">2026-10-05T11:15:52Z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0x0101007139F18E15A6E246BE4A06A7671E3706</vt:lpwstr>
  </property>
  <property fmtid="{D5CDD505-2E9C-101B-9397-08002B2CF9AE}" pid="3" name="Order">
    <vt:r8>54500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ies>
</file>